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s\Documents\Programming\VisualStudioProjects\RevitProjects\ExStorage\ExStoreTest2026\"/>
    </mc:Choice>
  </mc:AlternateContent>
  <xr:revisionPtr revIDLastSave="0" documentId="13_ncr:1_{83A13A9F-D27D-4ABC-8445-231D860F84E1}" xr6:coauthVersionLast="47" xr6:coauthVersionMax="47" xr10:uidLastSave="{00000000-0000-0000-0000-000000000000}"/>
  <bookViews>
    <workbookView xWindow="50724" yWindow="264" windowWidth="34872" windowHeight="22980" tabRatio="287" xr2:uid="{D30C4957-4841-4FB6-8CCE-B766E4418E4F}"/>
    <workbookView xWindow="46920" yWindow="696" windowWidth="43524" windowHeight="22980" tabRatio="367" xr2:uid="{D6F34A1A-BBAF-4C9D-9994-D9D244F33257}"/>
  </bookViews>
  <sheets>
    <sheet name="process each chg type" sheetId="4" r:id="rId1"/>
    <sheet name="(void) button standpoint" sheetId="3" r:id="rId2"/>
    <sheet name="(void) using enum" sheetId="2" r:id="rId3"/>
    <sheet name="(void)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1" i="3" l="1"/>
  <c r="J11" i="3"/>
  <c r="K11" i="3"/>
  <c r="I11" i="3"/>
  <c r="G11" i="3"/>
  <c r="F11" i="3"/>
  <c r="E11" i="3"/>
  <c r="E10" i="3"/>
  <c r="C11" i="3"/>
  <c r="N10" i="3"/>
  <c r="N9" i="3"/>
  <c r="M10" i="3"/>
  <c r="M9" i="3"/>
  <c r="K10" i="3"/>
  <c r="K9" i="3"/>
  <c r="J10" i="3"/>
  <c r="J9" i="3"/>
  <c r="I10" i="3"/>
  <c r="I9" i="3"/>
  <c r="G10" i="3"/>
  <c r="G9" i="3"/>
  <c r="F10" i="3"/>
  <c r="F9" i="3"/>
  <c r="E9" i="3"/>
  <c r="C9" i="3"/>
  <c r="C10" i="3"/>
  <c r="A60" i="2"/>
  <c r="A58" i="2"/>
  <c r="A56" i="2"/>
  <c r="A54" i="2"/>
  <c r="A48" i="2"/>
  <c r="A45" i="2"/>
  <c r="A42" i="2"/>
  <c r="A34" i="2"/>
  <c r="A32" i="2"/>
  <c r="A26" i="2"/>
  <c r="A23" i="2"/>
  <c r="A16" i="2"/>
  <c r="A13" i="2"/>
  <c r="A10" i="2"/>
  <c r="A17" i="1"/>
  <c r="A14" i="1"/>
  <c r="A61" i="1"/>
  <c r="A59" i="1"/>
  <c r="A57" i="1"/>
  <c r="A55" i="1"/>
  <c r="A49" i="1"/>
  <c r="A46" i="1"/>
  <c r="A43" i="1"/>
  <c r="A35" i="1"/>
  <c r="A33" i="1"/>
  <c r="A27" i="1"/>
  <c r="A24" i="1"/>
  <c r="A11" i="1"/>
</calcChain>
</file>

<file path=xl/sharedStrings.xml><?xml version="1.0" encoding="utf-8"?>
<sst xmlns="http://schemas.openxmlformats.org/spreadsheetml/2006/main" count="1823" uniqueCount="433">
  <si>
    <t>Workbook</t>
  </si>
  <si>
    <t>isMod</t>
  </si>
  <si>
    <t>true</t>
  </si>
  <si>
    <t>isMod Total</t>
  </si>
  <si>
    <t>idx 0 total</t>
  </si>
  <si>
    <t>idx 1 total</t>
  </si>
  <si>
    <t>0</t>
  </si>
  <si>
    <t>false</t>
  </si>
  <si>
    <t>1</t>
  </si>
  <si>
    <t>└→</t>
  </si>
  <si>
    <t>event (user field mod by user)</t>
  </si>
  <si>
    <t>event (last id field mod by user)</t>
  </si>
  <si>
    <t>sheet list ops</t>
  </si>
  <si>
    <t>wbk undo button</t>
  </si>
  <si>
    <t>wbk apply button</t>
  </si>
  <si>
    <t>sht lst undo button</t>
  </si>
  <si>
    <t>sht lst  apply button</t>
  </si>
  <si>
    <t>same</t>
  </si>
  <si>
    <t>slc = sheet list count</t>
  </si>
  <si>
    <t>event (add 1 sheet)</t>
  </si>
  <si>
    <t>event (del sheet or undo sheets)</t>
  </si>
  <si>
    <t>then 
event (add 1 sheet)</t>
  </si>
  <si>
    <t>B</t>
  </si>
  <si>
    <t>event undo WBK</t>
  </si>
  <si>
    <t>&gt; 0</t>
  </si>
  <si>
    <t>SLCa&gt;0</t>
  </si>
  <si>
    <t>event apply WBK</t>
  </si>
  <si>
    <t>event (apply sheets)</t>
  </si>
  <si>
    <t>&gt;= 0</t>
  </si>
  <si>
    <t>event (user undo field or [all] undo)</t>
  </si>
  <si>
    <t>event (user [all] apply)</t>
  </si>
  <si>
    <t>event (undo [all] sheet)</t>
  </si>
  <si>
    <t>event (apply [all] sheet)</t>
  </si>
  <si>
    <t>SLCa==0</t>
  </si>
  <si>
    <t>(set by multiple sources) 
(ctrl array = 0, 1)</t>
  </si>
  <si>
    <t>A</t>
  </si>
  <si>
    <t>C</t>
  </si>
  <si>
    <t>D</t>
  </si>
  <si>
    <t>E</t>
  </si>
  <si>
    <t>change sheet status but do not validate</t>
  </si>
  <si>
    <t>if (has alt src), sys: no undo</t>
  </si>
  <si>
    <t>if (has alt src), sys: no apply</t>
  </si>
  <si>
    <t>usr: when (F), do not apply change
sys: when (alt src==T &amp; usr:== F) apply change</t>
  </si>
  <si>
    <t>usr: when (T), apply undo
sys: when (alt src==F &amp; usr: == T), apply undo</t>
  </si>
  <si>
    <t>usr: when (T), apply apply
sys: when (alt src==F &amp; usr: == T), apply apply</t>
  </si>
  <si>
    <t xml:space="preserve"> </t>
  </si>
  <si>
    <t>result 2</t>
  </si>
  <si>
    <t>result 3</t>
  </si>
  <si>
    <r>
      <t>sht lst</t>
    </r>
    <r>
      <rPr>
        <sz val="8"/>
        <color theme="1"/>
        <rFont val="Arial Narrow"/>
        <family val="2"/>
      </rPr>
      <t xml:space="preserve">  (SLCe) (total exist )</t>
    </r>
  </si>
  <si>
    <r>
      <t>sht lst</t>
    </r>
    <r>
      <rPr>
        <sz val="8"/>
        <color theme="1"/>
        <rFont val="Arial Narrow"/>
        <family val="2"/>
      </rPr>
      <t xml:space="preserve">  (SLCa) (total add /mod )</t>
    </r>
  </si>
  <si>
    <r>
      <t>sht lst</t>
    </r>
    <r>
      <rPr>
        <sz val="8"/>
        <color theme="1"/>
        <rFont val="Arial Narrow"/>
        <family val="2"/>
      </rPr>
      <t xml:space="preserve">  (SLCd) (total add-del / mod-del)</t>
    </r>
  </si>
  <si>
    <t>validate</t>
  </si>
  <si>
    <t>idx 2 total</t>
  </si>
  <si>
    <t>T=&gt;[0]</t>
  </si>
  <si>
    <t>F=&gt;[0]</t>
  </si>
  <si>
    <t>usr: when [0] is T, apply undo
sys: when has alt src is F &amp; [0] is T, apply undo</t>
  </si>
  <si>
    <t>usr upds fld</t>
  </si>
  <si>
    <t>usr undo fld</t>
  </si>
  <si>
    <t>usr apply</t>
  </si>
  <si>
    <t>+1</t>
  </si>
  <si>
    <t>result 1 / status</t>
  </si>
  <si>
    <t>[all]==F</t>
  </si>
  <si>
    <t>event (user undo field)</t>
  </si>
  <si>
    <t>event (user undo all)</t>
  </si>
  <si>
    <t xml:space="preserve">usr undo all </t>
  </si>
  <si>
    <t>undoes sys: with no alt src</t>
  </si>
  <si>
    <t>src: user fields</t>
  </si>
  <si>
    <t xml:space="preserve">dest: last id </t>
  </si>
  <si>
    <t>src: user field modified</t>
  </si>
  <si>
    <t>sheets list modified (&amp; dest: last id modified)</t>
  </si>
  <si>
    <t>fix: vendor id modified</t>
  </si>
  <si>
    <t>fix: vendor id</t>
  </si>
  <si>
    <t>indr: date modified</t>
  </si>
  <si>
    <t>dest: name modified</t>
  </si>
  <si>
    <t>idx = 0</t>
  </si>
  <si>
    <t>idx = -1</t>
  </si>
  <si>
    <t>idx = 1
upd by 1</t>
  </si>
  <si>
    <t>idx = 1
upd by 0,1,2</t>
  </si>
  <si>
    <t>idx = 2
upd by 0,1,2</t>
  </si>
  <si>
    <t>--</t>
  </si>
  <si>
    <t>[0]==T</t>
  </si>
  <si>
    <t>dest: name modified or 
indr: date modified</t>
  </si>
  <si>
    <t>dest: last id mod 
(by USER)</t>
  </si>
  <si>
    <t>dest: name modified
(by USER)</t>
  </si>
  <si>
    <t>apply all</t>
  </si>
  <si>
    <t>event (user apply all)</t>
  </si>
  <si>
    <t>F</t>
  </si>
  <si>
    <t>same as A1</t>
  </si>
  <si>
    <t>same as A2/A3</t>
  </si>
  <si>
    <t>same as A4</t>
  </si>
  <si>
    <t>T=&gt;[1]</t>
  </si>
  <si>
    <t>updated</t>
  </si>
  <si>
    <t>update</t>
  </si>
  <si>
    <t>isMod&gt;0 (T) &amp; [0]==T</t>
  </si>
  <si>
    <t>isMod&gt;0 (T) &amp; [0]==F</t>
  </si>
  <si>
    <t>undone</t>
  </si>
  <si>
    <t>apply</t>
  </si>
  <si>
    <t>a</t>
  </si>
  <si>
    <t>b</t>
  </si>
  <si>
    <t>c</t>
  </si>
  <si>
    <t>d</t>
  </si>
  <si>
    <t>e</t>
  </si>
  <si>
    <t>Notes:
* flags [?] -&gt; change to bool? To allow tri-state</t>
  </si>
  <si>
    <t>2</t>
  </si>
  <si>
    <t>3</t>
  </si>
  <si>
    <t>4</t>
  </si>
  <si>
    <t>[0]==T (+1)</t>
  </si>
  <si>
    <t>[0]==F</t>
  </si>
  <si>
    <t>-2</t>
  </si>
  <si>
    <t>undo
F=&gt;[0]</t>
  </si>
  <si>
    <t>isMod==0 (F) &amp; [0]==F</t>
  </si>
  <si>
    <t>undo?
[0]==T, [1]==F, &amp; [2]==F</t>
  </si>
  <si>
    <t>apply?
[0]==T, [1]==F, &amp; [2]==F</t>
  </si>
  <si>
    <t>apply
F=&gt;[0]</t>
  </si>
  <si>
    <r>
      <t xml:space="preserve">dest: name modified
</t>
    </r>
    <r>
      <rPr>
        <sz val="8"/>
        <color theme="1"/>
        <rFont val="Arial Narrow"/>
        <family val="2"/>
      </rPr>
      <t>undo / apply routine</t>
    </r>
  </si>
  <si>
    <r>
      <t xml:space="preserve">indr: date modified
</t>
    </r>
    <r>
      <rPr>
        <sz val="8"/>
        <color theme="1"/>
        <rFont val="Arial Narrow"/>
        <family val="2"/>
      </rPr>
      <t>undo / apply routine</t>
    </r>
  </si>
  <si>
    <t>chg routine
src in == 0</t>
  </si>
  <si>
    <t>undo routine
src in == 0</t>
  </si>
  <si>
    <t>apply routine
src in == 0</t>
  </si>
  <si>
    <t>basically</t>
  </si>
  <si>
    <t>event (name mod field mod by user)</t>
  </si>
  <si>
    <t>event / current</t>
  </si>
  <si>
    <t>applied</t>
  </si>
  <si>
    <t>usr adds sht</t>
  </si>
  <si>
    <t>sht added / lastId updated</t>
  </si>
  <si>
    <t>add sht routine
src in==1</t>
  </si>
  <si>
    <t>[1]==T (1)</t>
  </si>
  <si>
    <t>undo routine
src in == 1</t>
  </si>
  <si>
    <t>undo</t>
  </si>
  <si>
    <t>-1</t>
  </si>
  <si>
    <t>isMod==0, [0]!=T &amp; [1+]!=T</t>
  </si>
  <si>
    <t>same as D1</t>
  </si>
  <si>
    <t>del sht / undo sht</t>
  </si>
  <si>
    <t>apply routine
src in == 1</t>
  </si>
  <si>
    <t>isMod&gt;0, [0]==T &amp; [1+]==F</t>
  </si>
  <si>
    <t xml:space="preserve">update
T=&gt;[0] </t>
  </si>
  <si>
    <t>ignore
(no chg)</t>
  </si>
  <si>
    <t>[1]==N</t>
  </si>
  <si>
    <t>[0l]==F</t>
  </si>
  <si>
    <t>[0]==F
0</t>
  </si>
  <si>
    <t>isMod&lt;0 (N) &amp; [0]==F</t>
  </si>
  <si>
    <t>[0]==F
false</t>
  </si>
  <si>
    <t>[0]==T
true</t>
  </si>
  <si>
    <t>conditions</t>
  </si>
  <si>
    <t>answer</t>
  </si>
  <si>
    <t>name modified</t>
  </si>
  <si>
    <t>date modified</t>
  </si>
  <si>
    <t>no chg</t>
  </si>
  <si>
    <t>sht flg =&gt; deleted</t>
  </si>
  <si>
    <t>sht flag existing</t>
  </si>
  <si>
    <t>apply lastId / isDirty=f</t>
  </si>
  <si>
    <t>[0]==F &amp;
[1]==N (-1)</t>
  </si>
  <si>
    <t>[0]==F &amp;
[1]=N (-1)</t>
  </si>
  <si>
    <t xml:space="preserve">[1]&gt;T, update
N=&gt;[1] </t>
  </si>
  <si>
    <t>lastId
[1]==T</t>
  </si>
  <si>
    <t>isMod&lt;0 &amp; [1]==N (undo)
F=&gt;[1]</t>
  </si>
  <si>
    <t>sht saved
[1]==T</t>
  </si>
  <si>
    <t>sht del / undo
[1]==T</t>
  </si>
  <si>
    <t>[0]==F &amp;
[1]=N (ignore)</t>
  </si>
  <si>
    <t>isMod&gt;0, [0]==F, [1]==N, [2]==F</t>
  </si>
  <si>
    <t>isMod&gt;0, [0]==F &amp; [1]==T &amp; [2]==F</t>
  </si>
  <si>
    <t>isMod&lt;0, [0]==F &amp; [1]==N, [2]==F</t>
  </si>
  <si>
    <t>N=&gt;[1]</t>
  </si>
  <si>
    <t>isMod&gt;0 &amp; [1]==N (apply)
F=&gt;[1]</t>
  </si>
  <si>
    <t>usr upds src:fld</t>
  </si>
  <si>
    <t>routine</t>
  </si>
  <si>
    <t>src chg</t>
  </si>
  <si>
    <t>upd field</t>
  </si>
  <si>
    <t>idx in = src-mod</t>
  </si>
  <si>
    <t>chg idx = src-mod</t>
  </si>
  <si>
    <t>found 1 changed</t>
  </si>
  <si>
    <t>idx==src-mod
isMod&gt;0</t>
  </si>
  <si>
    <t>enable</t>
  </si>
  <si>
    <t>src undo all</t>
  </si>
  <si>
    <t>undo then apply all chgd flds</t>
  </si>
  <si>
    <t>found 0 changed</t>
  </si>
  <si>
    <t>disable</t>
  </si>
  <si>
    <t>chg idx = usr-undo</t>
  </si>
  <si>
    <t>idx in=
usr-undo</t>
  </si>
  <si>
    <t>idx==src-undo
isMod==0</t>
  </si>
  <si>
    <t>src undo one</t>
  </si>
  <si>
    <t>undo then apply one chgd fld</t>
  </si>
  <si>
    <t>usr apply (all)</t>
  </si>
  <si>
    <t>src apply</t>
  </si>
  <si>
    <t>update then apply all chgd flds</t>
  </si>
  <si>
    <t>chg idx = usr-apply</t>
  </si>
  <si>
    <t>idx in=
usr-apply</t>
  </si>
  <si>
    <t>idx==src-apply
isMod==0</t>
  </si>
  <si>
    <t>sht added / lasdId modified</t>
  </si>
  <si>
    <t>sht lst add</t>
  </si>
  <si>
    <t>update fld</t>
  </si>
  <si>
    <t>chg idx = dest-mod</t>
  </si>
  <si>
    <t>idx in= dest-mod</t>
  </si>
  <si>
    <t>idx==src-mod</t>
  </si>
  <si>
    <t>user add a sheet</t>
  </si>
  <si>
    <t>event / routine / what was done / current status</t>
  </si>
  <si>
    <t>idx in = dest-mod</t>
  </si>
  <si>
    <t>X</t>
  </si>
  <si>
    <t xml:space="preserve">idx in = </t>
  </si>
  <si>
    <t xml:space="preserve">src field mod </t>
  </si>
  <si>
    <t>found 2 changed</t>
  </si>
  <si>
    <t>F1</t>
  </si>
  <si>
    <t>F2</t>
  </si>
  <si>
    <t>F3</t>
  </si>
  <si>
    <t>undo sheet</t>
  </si>
  <si>
    <t>src chg
idx in = src-mod</t>
  </si>
  <si>
    <t>sht add
idx in = dest-mod</t>
  </si>
  <si>
    <t>►</t>
  </si>
  <si>
    <t>sht undo
idx in = dest-undo</t>
  </si>
  <si>
    <t>idx in = dest-undo</t>
  </si>
  <si>
    <t>src count</t>
  </si>
  <si>
    <t>dest count</t>
  </si>
  <si>
    <t>isMod&gt;0
idx==src-mod
source==undef</t>
  </si>
  <si>
    <t>isMod&gt;0
idx==dest-mod
source==src-mod</t>
  </si>
  <si>
    <t>isMod&gt;0
idx==src-mod
source==dest-mod</t>
  </si>
  <si>
    <t>isMod&gt;0
idx==dest-undo
source==dest-mod</t>
  </si>
  <si>
    <r>
      <t xml:space="preserve">src-mod &lt; 
source (dest-mod)
</t>
    </r>
    <r>
      <rPr>
        <b/>
        <sz val="8"/>
        <color theme="1"/>
        <rFont val="Arial Narrow"/>
        <family val="2"/>
      </rPr>
      <t>ignore</t>
    </r>
  </si>
  <si>
    <r>
      <t>dest-mod &gt; 
source (src-mod)</t>
    </r>
    <r>
      <rPr>
        <b/>
        <sz val="8"/>
        <color theme="1"/>
        <rFont val="Arial Narrow"/>
        <family val="2"/>
      </rPr>
      <t xml:space="preserve">
update</t>
    </r>
    <r>
      <rPr>
        <sz val="8"/>
        <color theme="1"/>
        <rFont val="Arial Narrow"/>
        <family val="2"/>
      </rPr>
      <t xml:space="preserve">
dest-mod=&gt;source</t>
    </r>
  </si>
  <si>
    <r>
      <t>src-mod &gt;
source (undef)</t>
    </r>
    <r>
      <rPr>
        <b/>
        <sz val="8"/>
        <color theme="1"/>
        <rFont val="Arial Narrow"/>
        <family val="2"/>
      </rPr>
      <t xml:space="preserve">
update</t>
    </r>
    <r>
      <rPr>
        <sz val="8"/>
        <color theme="1"/>
        <rFont val="Arial Narrow"/>
        <family val="2"/>
      </rPr>
      <t xml:space="preserve">
src-mod=&gt;source</t>
    </r>
  </si>
  <si>
    <t>isMod&gt;0
idx==src-mod
source==src-mod</t>
  </si>
  <si>
    <t>isMod&gt;0
idx==dest-mod
source==dest-mod</t>
  </si>
  <si>
    <r>
      <t>idx==src-mod</t>
    </r>
    <r>
      <rPr>
        <b/>
        <sz val="8"/>
        <color theme="1"/>
        <rFont val="Arial Narrow"/>
        <family val="2"/>
      </rPr>
      <t xml:space="preserve">
enable</t>
    </r>
  </si>
  <si>
    <r>
      <t xml:space="preserve">idx!=src-mod
</t>
    </r>
    <r>
      <rPr>
        <b/>
        <sz val="8"/>
        <color theme="1"/>
        <rFont val="Arial Narrow"/>
        <family val="2"/>
      </rPr>
      <t>disable</t>
    </r>
  </si>
  <si>
    <t>dest-undo=&gt;idx</t>
  </si>
  <si>
    <t>dest-mod=&gt;idx</t>
  </si>
  <si>
    <t>upd fld</t>
  </si>
  <si>
    <t>src-mod=&gt;idx</t>
  </si>
  <si>
    <t xml:space="preserve">upd fld
</t>
  </si>
  <si>
    <t>sht undo
idx in = dest-redo</t>
  </si>
  <si>
    <t>idx in = dest-redo</t>
  </si>
  <si>
    <t>1 fld modified</t>
  </si>
  <si>
    <t>2 fld modified</t>
  </si>
  <si>
    <t>fld modified</t>
  </si>
  <si>
    <t>upd field &amp;
chg idx = src-mod</t>
  </si>
  <si>
    <t>all unset</t>
  </si>
  <si>
    <t>undo (redo) sheet</t>
  </si>
  <si>
    <t xml:space="preserve">sht added
flg = new
</t>
  </si>
  <si>
    <t xml:space="preserve">sht undo
flg = new-del
</t>
  </si>
  <si>
    <t>sht undo &amp; sht is undone
flg = new</t>
  </si>
  <si>
    <t>dest-redo=&gt;idx</t>
  </si>
  <si>
    <t>isDirty==T &amp; isUndo==F
1</t>
  </si>
  <si>
    <t>upd field
T=&gt;isDirty, F=&gt;isUndo
idx = dest-mod</t>
  </si>
  <si>
    <t>fld no chg
T=&gt;isDirty, T=&gt;isUndo
idx = dest-undo</t>
  </si>
  <si>
    <t>isDirty==T &amp; isUndo==T
0</t>
  </si>
  <si>
    <t>fld no chg
T=&gt;isDirty, F=&gt;isUndo
idx = dest-redo</t>
  </si>
  <si>
    <t>isMod&gt;0
idx==dest-redo
source==src-mod</t>
  </si>
  <si>
    <t>dest-redo&gt;
source (src-mod)
ignore</t>
  </si>
  <si>
    <t>F4</t>
  </si>
  <si>
    <t>src field mod</t>
  </si>
  <si>
    <t>found 3 changed</t>
  </si>
  <si>
    <t>isMod&gt;0
idx==src-mod
source==dest-undo</t>
  </si>
  <si>
    <r>
      <t xml:space="preserve">dest-undo &gt; 
source (dest-mod)
</t>
    </r>
    <r>
      <rPr>
        <b/>
        <sz val="8"/>
        <color theme="1"/>
        <rFont val="Arial Narrow"/>
        <family val="2"/>
      </rPr>
      <t xml:space="preserve">ignore
</t>
    </r>
    <r>
      <rPr>
        <sz val="8"/>
        <color theme="1"/>
        <rFont val="Arial Narrow"/>
        <family val="2"/>
      </rPr>
      <t>idx=dest-undo =&gt; src-mod=&gt;idx
desc-undo=&gt;source</t>
    </r>
  </si>
  <si>
    <t>isMod&gt;0
idx==src-mod
source=dest-undo</t>
  </si>
  <si>
    <r>
      <t xml:space="preserve">source="undo" &amp; idx = src-mod
</t>
    </r>
    <r>
      <rPr>
        <b/>
        <sz val="8"/>
        <color theme="1"/>
        <rFont val="Arial Narrow"/>
        <family val="2"/>
      </rPr>
      <t>update</t>
    </r>
  </si>
  <si>
    <t>-</t>
  </si>
  <si>
    <t>wbk apply</t>
  </si>
  <si>
    <t>wbk undo</t>
  </si>
  <si>
    <t>date/name mod</t>
  </si>
  <si>
    <t>enabled</t>
  </si>
  <si>
    <t>disabled</t>
  </si>
  <si>
    <t>sht lst apply</t>
  </si>
  <si>
    <t>sht lst undo</t>
  </si>
  <si>
    <t>nothing changed</t>
  </si>
  <si>
    <t>unchanged</t>
  </si>
  <si>
    <t>n/a</t>
  </si>
  <si>
    <t>shts list</t>
  </si>
  <si>
    <t>field</t>
  </si>
  <si>
    <t>lastId</t>
  </si>
  <si>
    <t>applied / is clean</t>
  </si>
  <si>
    <t>is clean</t>
  </si>
  <si>
    <t>updated / is dirty</t>
  </si>
  <si>
    <t>buttons</t>
  </si>
  <si>
    <t>fields</t>
  </si>
  <si>
    <t>undo / is clean</t>
  </si>
  <si>
    <t>is mod / enabled</t>
  </si>
  <si>
    <t>then, wbk apply pressed
then validate</t>
  </si>
  <si>
    <t>or,
 then, wbk undo pressed 
then validate</t>
  </si>
  <si>
    <t>only field(s) changed 
then validate</t>
  </si>
  <si>
    <t>sheet added =&gt;
last id modified 
then shts lst validate 
then validate</t>
  </si>
  <si>
    <t>then, shts lst apply pressed  
then shts lst validate 
then validate</t>
  </si>
  <si>
    <t>or, 
then, shts lst undo pressed  
then shts lst validate 
then validate</t>
  </si>
  <si>
    <t>only field(s) changed
then validate</t>
  </si>
  <si>
    <t xml:space="preserve">sheet added =&gt;
last id modified  
then shts lst validate 
then validate </t>
  </si>
  <si>
    <t>not mod / disabled</t>
  </si>
  <si>
    <t>sht lst is mod / disabled</t>
  </si>
  <si>
    <t>sht lst is mod / enabled</t>
  </si>
  <si>
    <t>shts lst not mod / disabled</t>
  </si>
  <si>
    <t>wbk</t>
  </si>
  <si>
    <t>shts list (SL)</t>
  </si>
  <si>
    <t>other</t>
  </si>
  <si>
    <t>G: SL NOT mod</t>
  </si>
  <si>
    <t>H: SL NOT mod</t>
  </si>
  <si>
    <t>A: NOT mod</t>
  </si>
  <si>
    <t>B: IS mod</t>
  </si>
  <si>
    <t>C: SL IS mod</t>
  </si>
  <si>
    <t>D: SL IS mod</t>
  </si>
  <si>
    <t>validate processing</t>
  </si>
  <si>
    <t>process sequence</t>
  </si>
  <si>
    <t>mod date</t>
  </si>
  <si>
    <t>mod name</t>
  </si>
  <si>
    <t>last id</t>
  </si>
  <si>
    <t>can apply</t>
  </si>
  <si>
    <t>can undo</t>
  </si>
  <si>
    <t>can apply list</t>
  </si>
  <si>
    <t>can undo list</t>
  </si>
  <si>
    <t>WORKBOOK</t>
  </si>
  <si>
    <t>event</t>
  </si>
  <si>
    <t>u1</t>
  </si>
  <si>
    <t>usr fld chg</t>
  </si>
  <si>
    <t>defaults | all bools are false, all fields, chgSrc = none</t>
  </si>
  <si>
    <t>upd LA</t>
  </si>
  <si>
    <t>is mod</t>
  </si>
  <si>
    <t>u2</t>
  </si>
  <si>
    <t>lastId chg</t>
  </si>
  <si>
    <t>then =&gt;</t>
  </si>
  <si>
    <t>upd LB</t>
  </si>
  <si>
    <t>n/c</t>
  </si>
  <si>
    <t>u3</t>
  </si>
  <si>
    <t>mod name chg</t>
  </si>
  <si>
    <t>upd LX</t>
  </si>
  <si>
    <t>n/a (this field)</t>
  </si>
  <si>
    <t>s1</t>
  </si>
  <si>
    <t>add sheet</t>
  </si>
  <si>
    <t>upd LE</t>
  </si>
  <si>
    <t>|</t>
  </si>
  <si>
    <t>v</t>
  </si>
  <si>
    <t>+=&gt; new field to track sheet list changes - not saved in the DS</t>
  </si>
  <si>
    <t>per user chg</t>
  </si>
  <si>
    <t>+=&gt; since the sheets list is modified, only sheet list oerations are allowed</t>
  </si>
  <si>
    <t>chgSrc=&gt; none</t>
  </si>
  <si>
    <t>revert means, change to the prior value and change the chgSrc to the prior value, apply lastId</t>
  </si>
  <si>
    <t>undo means to undo to the prior value and undo chgSrc to the prior value, isDirty per prior value</t>
  </si>
  <si>
    <t>as needed means that this value gets determined based on the settings at the time of validate processing</t>
  </si>
  <si>
    <t>example</t>
  </si>
  <si>
    <t>apply=&gt;none</t>
  </si>
  <si>
    <t>+=&gt; or. Instead of apply all</t>
  </si>
  <si>
    <t>or =&gt;</t>
  </si>
  <si>
    <t>undo all</t>
  </si>
  <si>
    <t>undo=&gt;prior</t>
  </si>
  <si>
    <t>per u1</t>
  </si>
  <si>
    <t>apply=&gt; none</t>
  </si>
  <si>
    <t>or=&gt;</t>
  </si>
  <si>
    <t>+=&gt; undo each field at LB or less</t>
  </si>
  <si>
    <t>+=&gt; apply each field at LB or less</t>
  </si>
  <si>
    <t>+=&gt; apply each field at LB or less =&gt; chgSrc =&gt; none</t>
  </si>
  <si>
    <t>apply means to apply the value and set chgSrc to none, isDirty to false, prior is null</t>
  </si>
  <si>
    <t>+=&gt; undo each field at LB or less =&gt; chgSrc =&gt; none | except that, a field may have a prior value which determines the validate process</t>
  </si>
  <si>
    <t>example 2</t>
  </si>
  <si>
    <t>example 3</t>
  </si>
  <si>
    <t xml:space="preserve">  prior</t>
  </si>
  <si>
    <t>none</t>
  </si>
  <si>
    <t>same usr fld chg</t>
  </si>
  <si>
    <t>undone, now B</t>
  </si>
  <si>
    <t>none (only 1 undo)</t>
  </si>
  <si>
    <t>chgSrc[]</t>
  </si>
  <si>
    <t>typeIn</t>
  </si>
  <si>
    <t>change</t>
  </si>
  <si>
    <t>[A]=1</t>
  </si>
  <si>
    <t>[A] == 1</t>
  </si>
  <si>
    <t>[A]==1</t>
  </si>
  <si>
    <t>undo=&gt;prior (none-fte)</t>
  </si>
  <si>
    <t>process per</t>
  </si>
  <si>
    <t>[A]</t>
  </si>
  <si>
    <t>[B]</t>
  </si>
  <si>
    <t>[X]</t>
  </si>
  <si>
    <t>[E]</t>
  </si>
  <si>
    <t>not change</t>
  </si>
  <si>
    <t>[A-!chg] n/c</t>
  </si>
  <si>
    <t>[none]</t>
  </si>
  <si>
    <t>[none] fte</t>
  </si>
  <si>
    <t>[none] n/c</t>
  </si>
  <si>
    <t>got [A]=&gt;true</t>
  </si>
  <si>
    <t>got [B]=&gt;true</t>
  </si>
  <si>
    <t>got [X]=&gt;true</t>
  </si>
  <si>
    <t>got [E]=&gt;true</t>
  </si>
  <si>
    <t>got [E]=&gt;false</t>
  </si>
  <si>
    <t>got [A]=&gt;false</t>
  </si>
  <si>
    <t>got [B]=&gt;false</t>
  </si>
  <si>
    <t>got [X]=&gt;false</t>
  </si>
  <si>
    <t>[none] false</t>
  </si>
  <si>
    <t>[A]=&gt;upd</t>
  </si>
  <si>
    <t>[B]=&gt;upd</t>
  </si>
  <si>
    <t>[X] n/a (this field)</t>
  </si>
  <si>
    <t>[X]=n/c (LB)</t>
  </si>
  <si>
    <t>[E]=&gt;upd</t>
  </si>
  <si>
    <t>[A] !chg</t>
  </si>
  <si>
    <t>+=&gt; apply each field at LB or less =&gt; chgSrc =&gt; none  (this will include mod date and mod name)</t>
  </si>
  <si>
    <t>+=&gt; undo each field at LB or less =&gt; chgSrc =&gt; none | except that, a field may have a prior value which sets chgSrc and determines the validate process (this will include mod date and mode name)</t>
  </si>
  <si>
    <t>[A] == 3 (+d&amp;n)</t>
  </si>
  <si>
    <t>[A]=3(+d&amp;n),[B]=1</t>
  </si>
  <si>
    <t>upd (per u2) [E]</t>
  </si>
  <si>
    <t>[A]=1,[B]=2,
[X]=1,[E]=1</t>
  </si>
  <si>
    <t>[A,X]=1,
[B]=3(+d&amp;n)</t>
  </si>
  <si>
    <t>example 4</t>
  </si>
  <si>
    <t>[A]=1,[X]=1</t>
  </si>
  <si>
    <t>[X]=&gt;upd(LB)</t>
  </si>
  <si>
    <t>[X]=&gt;upd(X)</t>
  </si>
  <si>
    <t>D=&gt;B &amp; C=&gt;A</t>
  </si>
  <si>
    <t>[X=!chg]=&gt;n/c</t>
  </si>
  <si>
    <t>use srcIdDate</t>
  </si>
  <si>
    <t>use srcIdTyp</t>
  </si>
  <si>
    <t>undo=&gt;prior (none)</t>
  </si>
  <si>
    <t>B=&gt;none, A=&gt;none</t>
  </si>
  <si>
    <t>field (via _obj.field)</t>
  </si>
  <si>
    <t>mod date (via _obj.ModDate_xxx)</t>
  </si>
  <si>
    <t>mod name (via _obj.ModName_xxx)</t>
  </si>
  <si>
    <t>example 5</t>
  </si>
  <si>
    <t>upd [E]</t>
  </si>
  <si>
    <t>apply all sheet list</t>
  </si>
  <si>
    <t>undo all sheet list</t>
  </si>
  <si>
    <t>+=&gt; sheets list apply must apply all sheets (&amp; set to existing), apply mod date, keep as dirty, then undo chgSrc,</t>
  </si>
  <si>
    <t xml:space="preserve">    apply mod name then undoChgSrc, keep as dirty, apply lastId - chgSrc =&gt; none, set new sheets list field chgSrc =&gt; none</t>
  </si>
  <si>
    <t>[A]=1, [B]=3(+d&amp;n)
,[X]=1</t>
  </si>
  <si>
    <t>n/a = not applicable | n/c == no change | rvt = revert to prior value | upd = update | L{x} = level {x} | fte = for this example, d&amp;n = mod date and mod name</t>
  </si>
  <si>
    <t>[X]=&gt;upd (LB)</t>
  </si>
  <si>
    <t>[B]=&gt;upd(LB)</t>
  </si>
  <si>
    <t>[A]=&gt;upd(LA)</t>
  </si>
  <si>
    <t>[E]=&gt;upd(LE)</t>
  </si>
  <si>
    <t>curr [X] n/c</t>
  </si>
  <si>
    <t xml:space="preserve">   prior</t>
  </si>
  <si>
    <t>+=&gt; undo means that the new sheet is flagged as new deleted and the new sheets list field's chgSrc =&gt; none</t>
  </si>
  <si>
    <t>n/c, flag as clean</t>
  </si>
  <si>
    <t>"undo" sheets list =&gt; none</t>
  </si>
  <si>
    <t xml:space="preserve">    undo mod date &amp; chgSrc, undo mod name &amp; chgSrc, lastId, n/c but flag as clean</t>
  </si>
  <si>
    <t>[A]=3(+d&amp;n), [E]=1</t>
  </si>
  <si>
    <t>[A]=3(+d&amp;n)</t>
  </si>
  <si>
    <t>example 6</t>
  </si>
  <si>
    <t>[E]=1</t>
  </si>
  <si>
    <t>=&gt;false</t>
  </si>
  <si>
    <t>chgSrc=&gt;none</t>
  </si>
  <si>
    <t>=&gt;none</t>
  </si>
  <si>
    <t>+=&gt; sheets list apply must apply all sheets (&amp; set to existing), apply mod date, then undo chgSrc (if !none=&gt; dirty, else clean)</t>
  </si>
  <si>
    <t xml:space="preserve">    apply mod name then undoChgSrc (if !none=&gt; dirty, else clean) apply lastId - chgSrc =&gt; none, set new sheets list field chgSrc =&gt; 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</si>
</sst>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8"/>
      <color theme="1"/>
      <name val="Arial Narrow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rial Narrow"/>
      <family val="2"/>
    </font>
    <font>
      <b/>
      <sz val="16"/>
      <color theme="1"/>
      <name val="Arial Narrow"/>
      <family val="2"/>
    </font>
    <font>
      <b/>
      <sz val="12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1"/>
      <color theme="1"/>
      <name val="Arial Narrow"/>
      <family val="2"/>
    </font>
    <font>
      <b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3" borderId="1">
      <alignment horizontal="left" vertical="top" wrapText="1"/>
    </xf>
  </cellStyleXfs>
  <cellXfs count="38">
    <xf numFmtId="0" fontId="0" fillId="3" borderId="1" xfId="0">
      <alignment horizontal="left" vertical="top" wrapText="1"/>
    </xf>
    <xf numFmtId="0" fontId="0" fillId="3" borderId="1" xfId="0" applyAlignment="1">
      <alignment horizontal="center" textRotation="90" wrapText="1"/>
    </xf>
    <xf numFmtId="0" fontId="1" fillId="3" borderId="1" xfId="0" applyFont="1" applyAlignment="1">
      <alignment horizontal="center" textRotation="90" wrapText="1"/>
    </xf>
    <xf numFmtId="0" fontId="2" fillId="3" borderId="1" xfId="0" applyFont="1" applyAlignment="1">
      <alignment horizontal="left"/>
    </xf>
    <xf numFmtId="0" fontId="4" fillId="3" borderId="1" xfId="0" applyFont="1">
      <alignment horizontal="left" vertical="top" wrapText="1"/>
    </xf>
    <xf numFmtId="0" fontId="6" fillId="3" borderId="1" xfId="0" applyFont="1">
      <alignment horizontal="left" vertical="top" wrapText="1"/>
    </xf>
    <xf numFmtId="0" fontId="5" fillId="3" borderId="1" xfId="0" applyFont="1" applyAlignment="1">
      <alignment horizontal="left" vertical="center"/>
    </xf>
    <xf numFmtId="0" fontId="4" fillId="3" borderId="1" xfId="0" applyFont="1" applyAlignment="1">
      <alignment vertical="top"/>
    </xf>
    <xf numFmtId="0" fontId="7" fillId="3" borderId="1" xfId="0" applyFont="1" applyAlignment="1">
      <alignment horizontal="left"/>
    </xf>
    <xf numFmtId="0" fontId="7" fillId="3" borderId="1" xfId="0" applyFont="1" applyAlignment="1">
      <alignment horizontal="center"/>
    </xf>
    <xf numFmtId="0" fontId="0" fillId="3" borderId="1" xfId="0" applyAlignment="1">
      <alignment horizontal="center" vertical="top" wrapText="1"/>
    </xf>
    <xf numFmtId="0" fontId="0" fillId="3" borderId="1" xfId="0" applyAlignment="1">
      <alignment horizontal="left" vertical="top" textRotation="90" wrapText="1"/>
    </xf>
    <xf numFmtId="0" fontId="8" fillId="3" borderId="1" xfId="0" applyFont="1" applyAlignment="1">
      <alignment horizontal="center" textRotation="90" wrapText="1"/>
    </xf>
    <xf numFmtId="0" fontId="8" fillId="3" borderId="1" xfId="0" applyFont="1" applyAlignment="1">
      <alignment horizontal="left" vertical="top" textRotation="90" wrapText="1"/>
    </xf>
    <xf numFmtId="0" fontId="0" fillId="3" borderId="1" xfId="0" applyAlignment="1">
      <alignment textRotation="90" wrapText="1"/>
    </xf>
    <xf numFmtId="0" fontId="8" fillId="3" borderId="1" xfId="0" applyFont="1" applyAlignment="1">
      <alignment horizontal="center" wrapText="1"/>
    </xf>
    <xf numFmtId="0" fontId="0" fillId="3" borderId="1" xfId="0" applyAlignment="1">
      <alignment vertical="top" wrapText="1"/>
    </xf>
    <xf numFmtId="0" fontId="7" fillId="3" borderId="1" xfId="0" applyFont="1" applyAlignment="1">
      <alignment horizontal="center" wrapText="1"/>
    </xf>
    <xf numFmtId="0" fontId="0" fillId="3" borderId="1" xfId="0" applyAlignment="1">
      <alignment horizontal="left" vertical="center" wrapText="1"/>
    </xf>
    <xf numFmtId="0" fontId="0" fillId="3" borderId="1" xfId="0" applyAlignment="1">
      <alignment horizontal="left" wrapText="1"/>
    </xf>
    <xf numFmtId="0" fontId="9" fillId="3" borderId="1" xfId="0" applyFont="1">
      <alignment horizontal="left" vertical="top" wrapText="1"/>
    </xf>
    <xf numFmtId="0" fontId="0" fillId="3" borderId="1" xfId="0" applyAlignment="1">
      <alignment horizontal="center" vertical="center" textRotation="90" wrapText="1"/>
    </xf>
    <xf numFmtId="0" fontId="0" fillId="3" borderId="1" xfId="0">
      <alignment horizontal="left" vertical="top" wrapText="1"/>
    </xf>
    <xf numFmtId="0" fontId="6" fillId="3" borderId="1" xfId="0" applyFont="1">
      <alignment horizontal="left" vertical="top" wrapText="1"/>
    </xf>
    <xf numFmtId="0" fontId="0" fillId="3" borderId="1" xfId="0" applyAlignment="1">
      <alignment horizontal="left" vertical="center" wrapText="1"/>
    </xf>
    <xf numFmtId="0" fontId="4" fillId="3" borderId="1" xfId="0" applyFont="1">
      <alignment horizontal="left" vertical="top" wrapText="1"/>
    </xf>
    <xf numFmtId="0" fontId="0" fillId="3" borderId="1" xfId="0" applyAlignment="1">
      <alignment horizontal="center" vertical="top" wrapText="1"/>
    </xf>
    <xf numFmtId="0" fontId="0" fillId="3" borderId="1" xfId="0" applyAlignment="1">
      <alignment horizontal="right" vertical="top" wrapText="1"/>
    </xf>
    <xf numFmtId="0" fontId="0" fillId="3" borderId="1" xfId="0" applyAlignment="1">
      <alignment horizontal="left" vertical="top"/>
    </xf>
    <xf numFmtId="49" fontId="0" fillId="3" borderId="1" xfId="0" applyNumberFormat="1" applyAlignment="1">
      <alignment horizontal="center" vertical="top" wrapText="1"/>
    </xf>
    <xf numFmtId="49" fontId="0" fillId="3" borderId="1" xfId="0" applyNumberFormat="1" applyAlignment="1">
      <alignment horizontal="left" vertical="top" wrapText="1"/>
    </xf>
    <xf numFmtId="49" fontId="0" fillId="3" borderId="1" xfId="0" applyNumberFormat="1" applyAlignment="1">
      <alignment horizontal="left" vertical="top"/>
    </xf>
    <xf numFmtId="49" fontId="0" fillId="3" borderId="1" xfId="0" applyNumberFormat="1" applyAlignment="1">
      <alignment horizontal="center" vertical="top"/>
    </xf>
    <xf numFmtId="0" fontId="0" fillId="3" borderId="1" xfId="0" applyAlignment="1">
      <alignment horizontal="center" vertical="top"/>
    </xf>
    <xf numFmtId="49" fontId="0" fillId="3" borderId="1" xfId="0" applyNumberFormat="1" applyAlignment="1">
      <alignment horizontal="right" vertical="top"/>
    </xf>
    <xf numFmtId="0" fontId="0" fillId="3" borderId="1" xfId="0" applyAlignment="1">
      <alignment horizontal="right" vertical="top"/>
    </xf>
    <xf numFmtId="0" fontId="0" fillId="2" borderId="1" xfId="0" applyFill="1">
      <alignment horizontal="left" vertical="top" wrapText="1"/>
    </xf>
    <xf numFmtId="49" fontId="0" fillId="2" borderId="1" xfId="0" applyNumberFormat="1" applyFill="1" applyAlignment="1">
      <alignment horizontal="center" vertical="top"/>
    </xf>
  </cellXfs>
  <cellStyles count="1">
    <cellStyle name="Normal" xfId="0" builtinId="0" customBuiltin="1"/>
  </cellStyles>
  <dxfs count="0"/>
  <tableStyles count="0" defaultTableStyle="TableStyleMedium2" defaultPivotStyle="PivotStyleLight16"/>
  <colors>
    <mruColors>
      <color rgb="FFF5F5F5"/>
      <color rgb="FFFBF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226C2-FB5B-45EC-80FA-E4337B30BFAE}">
  <dimension ref="A2:X174"/>
  <sheetViews>
    <sheetView tabSelected="1" defaultGridColor="0" topLeftCell="A147" colorId="12" zoomScale="205" zoomScaleNormal="205" workbookViewId="0">
      <selection activeCell="I165" sqref="I165"/>
    </sheetView>
    <sheetView tabSelected="1" zoomScale="220" zoomScaleNormal="220" workbookViewId="1">
      <selection activeCell="H18" sqref="H18"/>
    </sheetView>
  </sheetViews>
  <sheetFormatPr defaultRowHeight="10.199999999999999" x14ac:dyDescent="0.2"/>
  <cols>
    <col min="1" max="1" width="29.33203125" style="28" customWidth="1"/>
    <col min="2" max="2" width="20.1640625" customWidth="1"/>
    <col min="3" max="6" width="16.83203125" style="32" customWidth="1"/>
    <col min="7" max="7" width="3.83203125" style="32" customWidth="1"/>
    <col min="8" max="8" width="16.83203125" style="32" customWidth="1"/>
    <col min="9" max="9" width="4.6640625" style="32" customWidth="1"/>
    <col min="10" max="10" width="16.83203125" style="32" customWidth="1"/>
    <col min="11" max="11" width="3.5" style="32" customWidth="1"/>
    <col min="12" max="21" width="16.83203125" style="32" customWidth="1"/>
    <col min="22" max="22" width="15.1640625" style="32" customWidth="1"/>
    <col min="23" max="24" width="9.33203125" style="10"/>
  </cols>
  <sheetData>
    <row r="2" spans="1:24" x14ac:dyDescent="0.2">
      <c r="A2" s="28" t="s">
        <v>309</v>
      </c>
    </row>
    <row r="3" spans="1:24" x14ac:dyDescent="0.2">
      <c r="A3" s="28" t="s">
        <v>413</v>
      </c>
    </row>
    <row r="4" spans="1:24" x14ac:dyDescent="0.2">
      <c r="A4" s="28" t="s">
        <v>330</v>
      </c>
    </row>
    <row r="5" spans="1:24" x14ac:dyDescent="0.2">
      <c r="A5" s="28" t="s">
        <v>345</v>
      </c>
    </row>
    <row r="6" spans="1:24" x14ac:dyDescent="0.2">
      <c r="A6" s="28" t="s">
        <v>331</v>
      </c>
    </row>
    <row r="7" spans="1:24" x14ac:dyDescent="0.2">
      <c r="A7" s="28" t="s">
        <v>332</v>
      </c>
    </row>
    <row r="9" spans="1:24" s="28" customFormat="1" x14ac:dyDescent="0.2">
      <c r="A9" s="28" t="s">
        <v>305</v>
      </c>
      <c r="C9" s="32"/>
      <c r="D9" s="32"/>
      <c r="E9" s="31"/>
      <c r="F9" s="31" t="s">
        <v>326</v>
      </c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3"/>
      <c r="X9" s="33"/>
    </row>
    <row r="10" spans="1:24" s="28" customFormat="1" x14ac:dyDescent="0.2">
      <c r="A10" s="28" t="s">
        <v>333</v>
      </c>
      <c r="C10" s="32"/>
      <c r="D10" s="32"/>
      <c r="E10" s="32"/>
      <c r="F10" s="32" t="s">
        <v>324</v>
      </c>
      <c r="G10" s="31" t="s">
        <v>328</v>
      </c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3"/>
      <c r="X10" s="33"/>
    </row>
    <row r="11" spans="1:24" s="28" customFormat="1" x14ac:dyDescent="0.2">
      <c r="C11" s="32"/>
      <c r="D11" s="32"/>
      <c r="E11" s="32"/>
      <c r="F11" s="32" t="s">
        <v>324</v>
      </c>
      <c r="G11" s="32" t="s">
        <v>324</v>
      </c>
      <c r="H11" s="31" t="s">
        <v>410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3"/>
      <c r="X11" s="33"/>
    </row>
    <row r="12" spans="1:24" s="28" customFormat="1" x14ac:dyDescent="0.2">
      <c r="C12" s="32"/>
      <c r="D12" s="32"/>
      <c r="E12" s="32"/>
      <c r="F12" s="32" t="s">
        <v>324</v>
      </c>
      <c r="G12" s="32" t="s">
        <v>324</v>
      </c>
      <c r="H12" s="31" t="s">
        <v>411</v>
      </c>
      <c r="I12" s="31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3"/>
      <c r="X12" s="33"/>
    </row>
    <row r="13" spans="1:24" s="28" customFormat="1" x14ac:dyDescent="0.2">
      <c r="C13" s="32"/>
      <c r="D13" s="32"/>
      <c r="E13" s="32"/>
      <c r="F13" s="32" t="s">
        <v>324</v>
      </c>
      <c r="G13" s="32" t="s">
        <v>324</v>
      </c>
      <c r="H13" s="32" t="s">
        <v>324</v>
      </c>
      <c r="I13" s="32"/>
      <c r="J13" s="31" t="s">
        <v>343</v>
      </c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3"/>
      <c r="X13" s="33"/>
    </row>
    <row r="14" spans="1:24" s="28" customFormat="1" x14ac:dyDescent="0.2">
      <c r="C14" s="32"/>
      <c r="D14" s="32"/>
      <c r="E14" s="32"/>
      <c r="F14" s="32" t="s">
        <v>325</v>
      </c>
      <c r="G14" s="32" t="s">
        <v>325</v>
      </c>
      <c r="H14" s="32" t="s">
        <v>325</v>
      </c>
      <c r="I14" s="32"/>
      <c r="J14" s="32" t="s">
        <v>324</v>
      </c>
      <c r="K14" s="32"/>
      <c r="L14" s="31" t="s">
        <v>342</v>
      </c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3"/>
      <c r="X14" s="33"/>
    </row>
    <row r="15" spans="1:24" x14ac:dyDescent="0.2">
      <c r="A15" s="28" t="s">
        <v>297</v>
      </c>
      <c r="B15" s="27" t="s">
        <v>306</v>
      </c>
      <c r="C15" s="32" t="s">
        <v>307</v>
      </c>
      <c r="D15" s="32" t="s">
        <v>312</v>
      </c>
      <c r="E15" s="32" t="s">
        <v>317</v>
      </c>
      <c r="F15" s="32" t="s">
        <v>321</v>
      </c>
      <c r="J15" s="32" t="s">
        <v>325</v>
      </c>
      <c r="K15" s="31" t="s">
        <v>335</v>
      </c>
    </row>
    <row r="16" spans="1:24" x14ac:dyDescent="0.2">
      <c r="C16" s="32" t="s">
        <v>308</v>
      </c>
      <c r="D16" s="32" t="s">
        <v>313</v>
      </c>
      <c r="E16" s="32" t="s">
        <v>318</v>
      </c>
      <c r="F16" s="32" t="s">
        <v>322</v>
      </c>
      <c r="H16" s="32" t="s">
        <v>408</v>
      </c>
      <c r="J16" s="32" t="s">
        <v>84</v>
      </c>
      <c r="L16" s="32" t="s">
        <v>337</v>
      </c>
    </row>
    <row r="17" spans="1:12" x14ac:dyDescent="0.2">
      <c r="C17" s="34" t="s">
        <v>314</v>
      </c>
      <c r="D17" s="34" t="s">
        <v>314</v>
      </c>
      <c r="F17" s="34" t="s">
        <v>314</v>
      </c>
      <c r="H17" s="34" t="s">
        <v>314</v>
      </c>
      <c r="I17" s="34"/>
      <c r="J17" s="34" t="s">
        <v>336</v>
      </c>
    </row>
    <row r="18" spans="1:12" x14ac:dyDescent="0.2">
      <c r="A18" s="28" t="s">
        <v>403</v>
      </c>
      <c r="B18" t="s">
        <v>400</v>
      </c>
      <c r="C18" s="32" t="s">
        <v>310</v>
      </c>
      <c r="D18" s="32" t="s">
        <v>315</v>
      </c>
      <c r="E18" s="32" t="s">
        <v>319</v>
      </c>
      <c r="F18" s="32" t="s">
        <v>323</v>
      </c>
      <c r="H18" s="32" t="s">
        <v>329</v>
      </c>
      <c r="J18" s="32" t="s">
        <v>334</v>
      </c>
      <c r="L18" s="32" t="s">
        <v>338</v>
      </c>
    </row>
    <row r="20" spans="1:12" x14ac:dyDescent="0.2">
      <c r="L20" s="32" t="s">
        <v>339</v>
      </c>
    </row>
    <row r="21" spans="1:12" x14ac:dyDescent="0.2">
      <c r="A21" s="28" t="s">
        <v>300</v>
      </c>
      <c r="B21" t="s">
        <v>400</v>
      </c>
      <c r="C21" s="32" t="s">
        <v>264</v>
      </c>
      <c r="D21" s="32" t="s">
        <v>327</v>
      </c>
      <c r="E21" s="32" t="s">
        <v>264</v>
      </c>
      <c r="F21" s="32" t="s">
        <v>390</v>
      </c>
      <c r="H21" s="32" t="s">
        <v>367</v>
      </c>
      <c r="J21" s="32" t="s">
        <v>370</v>
      </c>
      <c r="L21" s="32" t="s">
        <v>370</v>
      </c>
    </row>
    <row r="23" spans="1:12" x14ac:dyDescent="0.2">
      <c r="A23" s="28" t="s">
        <v>296</v>
      </c>
      <c r="B23" s="36"/>
      <c r="C23" s="37"/>
      <c r="D23" s="37"/>
      <c r="E23" s="37"/>
      <c r="F23" s="37"/>
      <c r="G23" s="37"/>
      <c r="H23" s="37"/>
      <c r="I23" s="37"/>
      <c r="J23" s="37"/>
      <c r="K23" s="37"/>
      <c r="L23" s="37"/>
    </row>
    <row r="24" spans="1:12" ht="22.8" customHeight="1" x14ac:dyDescent="0.2">
      <c r="B24" t="s">
        <v>354</v>
      </c>
      <c r="C24" s="32" t="s">
        <v>357</v>
      </c>
      <c r="D24" s="32" t="s">
        <v>389</v>
      </c>
      <c r="E24" s="29" t="s">
        <v>412</v>
      </c>
      <c r="F24" s="29" t="s">
        <v>391</v>
      </c>
      <c r="H24" s="32" t="s">
        <v>357</v>
      </c>
      <c r="J24" s="32" t="s">
        <v>369</v>
      </c>
      <c r="L24" s="32" t="s">
        <v>369</v>
      </c>
    </row>
    <row r="25" spans="1:12" x14ac:dyDescent="0.2">
      <c r="B25" t="s">
        <v>355</v>
      </c>
      <c r="C25" s="32" t="s">
        <v>356</v>
      </c>
      <c r="D25" s="32" t="s">
        <v>356</v>
      </c>
      <c r="E25" s="32" t="s">
        <v>356</v>
      </c>
      <c r="F25" s="32" t="s">
        <v>356</v>
      </c>
      <c r="H25" s="32" t="s">
        <v>366</v>
      </c>
      <c r="J25" s="32" t="s">
        <v>366</v>
      </c>
      <c r="L25" s="32" t="s">
        <v>366</v>
      </c>
    </row>
    <row r="27" spans="1:12" x14ac:dyDescent="0.2">
      <c r="B27" s="35" t="s">
        <v>361</v>
      </c>
      <c r="C27" s="32" t="s">
        <v>362</v>
      </c>
      <c r="D27" s="32" t="s">
        <v>363</v>
      </c>
      <c r="E27" s="32" t="s">
        <v>364</v>
      </c>
      <c r="F27" s="32" t="s">
        <v>365</v>
      </c>
      <c r="H27" s="32" t="s">
        <v>362</v>
      </c>
      <c r="J27" s="32" t="s">
        <v>369</v>
      </c>
      <c r="L27" s="32" t="s">
        <v>369</v>
      </c>
    </row>
    <row r="28" spans="1:12" x14ac:dyDescent="0.2">
      <c r="A28" s="28" t="s">
        <v>404</v>
      </c>
      <c r="B28" t="s">
        <v>399</v>
      </c>
      <c r="C28" s="32" t="s">
        <v>416</v>
      </c>
      <c r="D28" s="32" t="s">
        <v>415</v>
      </c>
      <c r="E28" s="32" t="s">
        <v>414</v>
      </c>
      <c r="F28" s="32" t="s">
        <v>417</v>
      </c>
      <c r="H28" s="32" t="s">
        <v>367</v>
      </c>
      <c r="J28" s="32" t="s">
        <v>370</v>
      </c>
      <c r="L28" s="32" t="s">
        <v>370</v>
      </c>
    </row>
    <row r="29" spans="1:12" x14ac:dyDescent="0.2">
      <c r="A29" s="28" t="s">
        <v>405</v>
      </c>
      <c r="B29" t="s">
        <v>400</v>
      </c>
      <c r="C29" s="32" t="s">
        <v>416</v>
      </c>
      <c r="D29" s="32" t="s">
        <v>415</v>
      </c>
      <c r="E29" s="32" t="s">
        <v>320</v>
      </c>
      <c r="F29" s="32" t="s">
        <v>418</v>
      </c>
      <c r="H29" s="32" t="s">
        <v>367</v>
      </c>
      <c r="J29" s="32" t="s">
        <v>370</v>
      </c>
      <c r="L29" s="32" t="s">
        <v>370</v>
      </c>
    </row>
    <row r="31" spans="1:12" x14ac:dyDescent="0.2">
      <c r="A31" s="28" t="s">
        <v>311</v>
      </c>
      <c r="C31" s="32" t="s">
        <v>371</v>
      </c>
      <c r="D31" s="32" t="s">
        <v>372</v>
      </c>
      <c r="E31" s="32" t="s">
        <v>373</v>
      </c>
      <c r="F31" s="32" t="s">
        <v>374</v>
      </c>
      <c r="H31" s="32" t="s">
        <v>371</v>
      </c>
      <c r="J31" s="32" t="s">
        <v>379</v>
      </c>
      <c r="L31" s="32" t="s">
        <v>379</v>
      </c>
    </row>
    <row r="32" spans="1:12" x14ac:dyDescent="0.2">
      <c r="A32" s="28" t="s">
        <v>301</v>
      </c>
      <c r="C32" s="32" t="s">
        <v>371</v>
      </c>
      <c r="D32" s="32" t="s">
        <v>372</v>
      </c>
      <c r="E32" s="32" t="s">
        <v>373</v>
      </c>
      <c r="F32" s="32" t="s">
        <v>375</v>
      </c>
      <c r="H32" s="32" t="s">
        <v>371</v>
      </c>
      <c r="J32" s="32" t="s">
        <v>379</v>
      </c>
      <c r="L32" s="32" t="s">
        <v>379</v>
      </c>
    </row>
    <row r="33" spans="1:12" x14ac:dyDescent="0.2">
      <c r="A33" s="28" t="s">
        <v>302</v>
      </c>
      <c r="C33" s="32" t="s">
        <v>371</v>
      </c>
      <c r="D33" s="32" t="s">
        <v>372</v>
      </c>
      <c r="E33" s="32" t="s">
        <v>373</v>
      </c>
      <c r="F33" s="32" t="s">
        <v>375</v>
      </c>
      <c r="H33" s="32" t="s">
        <v>371</v>
      </c>
      <c r="J33" s="32" t="s">
        <v>379</v>
      </c>
      <c r="L33" s="32" t="s">
        <v>379</v>
      </c>
    </row>
    <row r="34" spans="1:12" x14ac:dyDescent="0.2">
      <c r="A34" s="28" t="s">
        <v>303</v>
      </c>
      <c r="C34" s="32" t="s">
        <v>376</v>
      </c>
      <c r="D34" s="32" t="s">
        <v>377</v>
      </c>
      <c r="E34" s="32" t="s">
        <v>378</v>
      </c>
      <c r="F34" s="32" t="s">
        <v>374</v>
      </c>
      <c r="H34" s="32" t="s">
        <v>376</v>
      </c>
      <c r="J34" s="32" t="s">
        <v>379</v>
      </c>
      <c r="L34" s="32" t="s">
        <v>379</v>
      </c>
    </row>
    <row r="35" spans="1:12" x14ac:dyDescent="0.2">
      <c r="A35" s="28" t="s">
        <v>304</v>
      </c>
      <c r="C35" s="32" t="s">
        <v>376</v>
      </c>
      <c r="D35" s="32" t="s">
        <v>377</v>
      </c>
      <c r="E35" s="32" t="s">
        <v>378</v>
      </c>
      <c r="F35" s="32" t="s">
        <v>374</v>
      </c>
      <c r="H35" s="32" t="s">
        <v>376</v>
      </c>
      <c r="J35" s="32" t="s">
        <v>379</v>
      </c>
      <c r="L35" s="32" t="s">
        <v>379</v>
      </c>
    </row>
    <row r="37" spans="1:12" x14ac:dyDescent="0.2">
      <c r="F37" s="31" t="s">
        <v>344</v>
      </c>
    </row>
    <row r="38" spans="1:12" x14ac:dyDescent="0.2">
      <c r="A38" s="28" t="s">
        <v>305</v>
      </c>
      <c r="F38" s="32" t="s">
        <v>324</v>
      </c>
      <c r="H38" s="31" t="s">
        <v>346</v>
      </c>
      <c r="I38" s="31"/>
    </row>
    <row r="39" spans="1:12" x14ac:dyDescent="0.2">
      <c r="A39" s="28" t="s">
        <v>347</v>
      </c>
      <c r="F39" s="32" t="s">
        <v>324</v>
      </c>
      <c r="H39" s="32" t="s">
        <v>324</v>
      </c>
    </row>
    <row r="40" spans="1:12" x14ac:dyDescent="0.2">
      <c r="F40" s="32" t="s">
        <v>324</v>
      </c>
      <c r="H40" s="32" t="s">
        <v>325</v>
      </c>
    </row>
    <row r="41" spans="1:12" x14ac:dyDescent="0.2">
      <c r="A41" s="28" t="s">
        <v>297</v>
      </c>
      <c r="B41" s="27" t="s">
        <v>306</v>
      </c>
      <c r="C41" s="32" t="s">
        <v>307</v>
      </c>
      <c r="D41" s="32" t="s">
        <v>312</v>
      </c>
      <c r="E41" s="32" t="s">
        <v>317</v>
      </c>
      <c r="F41" s="32" t="s">
        <v>325</v>
      </c>
      <c r="G41" s="31" t="s">
        <v>335</v>
      </c>
    </row>
    <row r="42" spans="1:12" x14ac:dyDescent="0.2">
      <c r="C42" s="32" t="s">
        <v>308</v>
      </c>
      <c r="D42" s="32" t="s">
        <v>313</v>
      </c>
      <c r="E42" s="32" t="s">
        <v>318</v>
      </c>
      <c r="F42" s="32" t="s">
        <v>84</v>
      </c>
      <c r="H42" s="32" t="s">
        <v>337</v>
      </c>
    </row>
    <row r="43" spans="1:12" x14ac:dyDescent="0.2">
      <c r="C43" s="34" t="s">
        <v>314</v>
      </c>
      <c r="D43" s="34" t="s">
        <v>314</v>
      </c>
      <c r="E43" s="34" t="s">
        <v>314</v>
      </c>
      <c r="F43" s="34" t="s">
        <v>341</v>
      </c>
    </row>
    <row r="44" spans="1:12" x14ac:dyDescent="0.2">
      <c r="A44" s="28" t="s">
        <v>266</v>
      </c>
      <c r="B44" t="s">
        <v>400</v>
      </c>
      <c r="C44" s="32" t="s">
        <v>310</v>
      </c>
      <c r="D44" s="32" t="s">
        <v>315</v>
      </c>
      <c r="E44" s="32" t="s">
        <v>319</v>
      </c>
      <c r="F44" s="32" t="s">
        <v>340</v>
      </c>
      <c r="H44" s="31" t="s">
        <v>360</v>
      </c>
      <c r="I44" s="31"/>
    </row>
    <row r="46" spans="1:12" x14ac:dyDescent="0.2">
      <c r="A46" s="28" t="s">
        <v>300</v>
      </c>
      <c r="B46" t="s">
        <v>400</v>
      </c>
      <c r="C46" s="32" t="s">
        <v>264</v>
      </c>
      <c r="D46" s="32" t="s">
        <v>327</v>
      </c>
      <c r="E46" s="32" t="s">
        <v>264</v>
      </c>
      <c r="F46" s="32" t="s">
        <v>370</v>
      </c>
      <c r="H46" s="32" t="s">
        <v>370</v>
      </c>
    </row>
    <row r="48" spans="1:12" x14ac:dyDescent="0.2">
      <c r="A48" s="28" t="s">
        <v>296</v>
      </c>
      <c r="B48" s="36"/>
      <c r="C48" s="37"/>
      <c r="D48" s="37"/>
      <c r="E48" s="37"/>
      <c r="F48" s="37"/>
      <c r="G48" s="37"/>
      <c r="H48" s="37"/>
    </row>
    <row r="49" spans="1:8" ht="22.8" customHeight="1" x14ac:dyDescent="0.2">
      <c r="B49" t="s">
        <v>354</v>
      </c>
      <c r="C49" s="32" t="s">
        <v>357</v>
      </c>
      <c r="D49" s="32" t="s">
        <v>389</v>
      </c>
      <c r="E49" s="29" t="s">
        <v>392</v>
      </c>
      <c r="F49" s="32" t="s">
        <v>369</v>
      </c>
      <c r="H49" s="32" t="s">
        <v>369</v>
      </c>
    </row>
    <row r="50" spans="1:8" x14ac:dyDescent="0.2">
      <c r="B50" t="s">
        <v>355</v>
      </c>
      <c r="C50" s="32" t="s">
        <v>356</v>
      </c>
      <c r="D50" s="32" t="s">
        <v>356</v>
      </c>
      <c r="E50" s="32" t="s">
        <v>356</v>
      </c>
      <c r="F50" s="32" t="s">
        <v>366</v>
      </c>
      <c r="H50" s="32" t="s">
        <v>366</v>
      </c>
    </row>
    <row r="52" spans="1:8" x14ac:dyDescent="0.2">
      <c r="B52" s="35" t="s">
        <v>361</v>
      </c>
      <c r="C52" s="32" t="s">
        <v>362</v>
      </c>
      <c r="D52" s="32" t="s">
        <v>363</v>
      </c>
      <c r="E52" s="32" t="s">
        <v>364</v>
      </c>
      <c r="F52" s="32" t="s">
        <v>369</v>
      </c>
      <c r="H52" s="32" t="s">
        <v>369</v>
      </c>
    </row>
    <row r="53" spans="1:8" x14ac:dyDescent="0.2">
      <c r="A53" s="28" t="s">
        <v>298</v>
      </c>
      <c r="B53" t="s">
        <v>399</v>
      </c>
      <c r="C53" s="32" t="s">
        <v>380</v>
      </c>
      <c r="D53" s="32" t="s">
        <v>381</v>
      </c>
      <c r="E53" s="32" t="s">
        <v>383</v>
      </c>
      <c r="F53" s="32" t="s">
        <v>370</v>
      </c>
      <c r="H53" s="32" t="s">
        <v>370</v>
      </c>
    </row>
    <row r="54" spans="1:8" x14ac:dyDescent="0.2">
      <c r="A54" s="28" t="s">
        <v>299</v>
      </c>
      <c r="B54" t="s">
        <v>400</v>
      </c>
      <c r="C54" s="32" t="s">
        <v>380</v>
      </c>
      <c r="D54" s="32" t="s">
        <v>381</v>
      </c>
      <c r="E54" s="32" t="s">
        <v>382</v>
      </c>
      <c r="F54" s="32" t="s">
        <v>370</v>
      </c>
      <c r="H54" s="32" t="s">
        <v>370</v>
      </c>
    </row>
    <row r="56" spans="1:8" x14ac:dyDescent="0.2">
      <c r="A56" s="28" t="s">
        <v>311</v>
      </c>
      <c r="C56" s="32" t="s">
        <v>371</v>
      </c>
      <c r="D56" s="32" t="s">
        <v>372</v>
      </c>
      <c r="E56" s="32" t="s">
        <v>373</v>
      </c>
      <c r="F56" s="32" t="s">
        <v>379</v>
      </c>
      <c r="H56" s="32" t="s">
        <v>379</v>
      </c>
    </row>
    <row r="57" spans="1:8" x14ac:dyDescent="0.2">
      <c r="A57" s="28" t="s">
        <v>301</v>
      </c>
      <c r="C57" s="32" t="s">
        <v>371</v>
      </c>
      <c r="D57" s="32" t="s">
        <v>372</v>
      </c>
      <c r="E57" s="32" t="s">
        <v>373</v>
      </c>
      <c r="F57" s="32" t="s">
        <v>379</v>
      </c>
      <c r="H57" s="32" t="s">
        <v>379</v>
      </c>
    </row>
    <row r="58" spans="1:8" x14ac:dyDescent="0.2">
      <c r="A58" s="28" t="s">
        <v>302</v>
      </c>
      <c r="C58" s="32" t="s">
        <v>371</v>
      </c>
      <c r="D58" s="32" t="s">
        <v>372</v>
      </c>
      <c r="E58" s="32" t="s">
        <v>373</v>
      </c>
      <c r="F58" s="32" t="s">
        <v>379</v>
      </c>
      <c r="H58" s="32" t="s">
        <v>379</v>
      </c>
    </row>
    <row r="59" spans="1:8" x14ac:dyDescent="0.2">
      <c r="A59" s="28" t="s">
        <v>303</v>
      </c>
      <c r="C59" s="32" t="s">
        <v>376</v>
      </c>
      <c r="D59" s="32" t="s">
        <v>377</v>
      </c>
      <c r="E59" s="32" t="s">
        <v>378</v>
      </c>
      <c r="F59" s="32" t="s">
        <v>379</v>
      </c>
      <c r="H59" s="32" t="s">
        <v>379</v>
      </c>
    </row>
    <row r="60" spans="1:8" x14ac:dyDescent="0.2">
      <c r="A60" s="28" t="s">
        <v>304</v>
      </c>
      <c r="C60" s="32" t="s">
        <v>376</v>
      </c>
      <c r="D60" s="32" t="s">
        <v>377</v>
      </c>
      <c r="E60" s="32" t="s">
        <v>378</v>
      </c>
      <c r="F60" s="32" t="s">
        <v>379</v>
      </c>
      <c r="H60" s="32" t="s">
        <v>379</v>
      </c>
    </row>
    <row r="64" spans="1:8" x14ac:dyDescent="0.2">
      <c r="A64" s="28" t="s">
        <v>305</v>
      </c>
      <c r="F64" s="31" t="s">
        <v>386</v>
      </c>
    </row>
    <row r="65" spans="1:9" x14ac:dyDescent="0.2">
      <c r="A65" s="28" t="s">
        <v>348</v>
      </c>
      <c r="F65" s="32" t="s">
        <v>324</v>
      </c>
      <c r="H65" s="31" t="s">
        <v>387</v>
      </c>
      <c r="I65" s="31"/>
    </row>
    <row r="66" spans="1:9" x14ac:dyDescent="0.2">
      <c r="F66" s="32" t="s">
        <v>324</v>
      </c>
      <c r="H66" s="32" t="s">
        <v>324</v>
      </c>
    </row>
    <row r="67" spans="1:9" x14ac:dyDescent="0.2">
      <c r="C67" s="32" t="s">
        <v>35</v>
      </c>
      <c r="D67" s="32" t="s">
        <v>22</v>
      </c>
      <c r="E67" s="32" t="s">
        <v>36</v>
      </c>
      <c r="F67" s="32" t="s">
        <v>324</v>
      </c>
      <c r="H67" s="32" t="s">
        <v>325</v>
      </c>
    </row>
    <row r="68" spans="1:9" x14ac:dyDescent="0.2">
      <c r="A68" s="28" t="s">
        <v>297</v>
      </c>
      <c r="B68" s="27" t="s">
        <v>306</v>
      </c>
      <c r="C68" s="32" t="s">
        <v>307</v>
      </c>
      <c r="D68" s="32" t="s">
        <v>307</v>
      </c>
      <c r="E68" s="32" t="s">
        <v>307</v>
      </c>
      <c r="F68" s="32" t="s">
        <v>325</v>
      </c>
      <c r="G68" s="31" t="s">
        <v>335</v>
      </c>
    </row>
    <row r="69" spans="1:9" x14ac:dyDescent="0.2">
      <c r="C69" s="32" t="s">
        <v>308</v>
      </c>
      <c r="D69" s="32" t="s">
        <v>351</v>
      </c>
      <c r="E69" s="32" t="s">
        <v>351</v>
      </c>
      <c r="F69" s="32" t="s">
        <v>84</v>
      </c>
      <c r="H69" s="32" t="s">
        <v>337</v>
      </c>
    </row>
    <row r="70" spans="1:9" x14ac:dyDescent="0.2">
      <c r="C70" s="34" t="s">
        <v>314</v>
      </c>
      <c r="D70" s="34" t="s">
        <v>314</v>
      </c>
      <c r="E70" s="34" t="s">
        <v>314</v>
      </c>
      <c r="F70" s="34" t="s">
        <v>341</v>
      </c>
    </row>
    <row r="71" spans="1:9" x14ac:dyDescent="0.2">
      <c r="A71" s="28" t="s">
        <v>266</v>
      </c>
      <c r="B71" t="s">
        <v>400</v>
      </c>
      <c r="C71" s="32" t="s">
        <v>310</v>
      </c>
      <c r="D71" s="32" t="s">
        <v>310</v>
      </c>
      <c r="E71" s="32" t="s">
        <v>310</v>
      </c>
      <c r="F71" s="32" t="s">
        <v>334</v>
      </c>
      <c r="H71" s="32" t="s">
        <v>352</v>
      </c>
    </row>
    <row r="72" spans="1:9" x14ac:dyDescent="0.2">
      <c r="A72" s="28" t="s">
        <v>349</v>
      </c>
      <c r="C72" s="32" t="s">
        <v>350</v>
      </c>
      <c r="D72" s="32" t="s">
        <v>35</v>
      </c>
      <c r="E72" s="32" t="s">
        <v>22</v>
      </c>
      <c r="H72" s="32" t="s">
        <v>353</v>
      </c>
    </row>
    <row r="74" spans="1:9" x14ac:dyDescent="0.2">
      <c r="A74" s="28" t="s">
        <v>300</v>
      </c>
      <c r="B74" t="s">
        <v>400</v>
      </c>
      <c r="C74" s="32" t="s">
        <v>264</v>
      </c>
      <c r="D74" s="32" t="s">
        <v>264</v>
      </c>
      <c r="E74" s="32" t="s">
        <v>264</v>
      </c>
      <c r="F74" s="32" t="s">
        <v>370</v>
      </c>
      <c r="H74" s="32" t="s">
        <v>367</v>
      </c>
    </row>
    <row r="76" spans="1:9" x14ac:dyDescent="0.2">
      <c r="A76" s="28" t="s">
        <v>296</v>
      </c>
      <c r="B76" s="36"/>
      <c r="C76" s="37"/>
      <c r="D76" s="37"/>
      <c r="E76" s="37"/>
      <c r="F76" s="37"/>
      <c r="G76" s="37"/>
      <c r="H76" s="37"/>
    </row>
    <row r="77" spans="1:9" x14ac:dyDescent="0.2">
      <c r="B77" t="s">
        <v>354</v>
      </c>
      <c r="C77" s="32" t="s">
        <v>358</v>
      </c>
      <c r="D77" s="32" t="s">
        <v>388</v>
      </c>
      <c r="E77" s="32" t="s">
        <v>388</v>
      </c>
      <c r="F77" s="32" t="s">
        <v>369</v>
      </c>
      <c r="H77" s="32" t="s">
        <v>359</v>
      </c>
    </row>
    <row r="78" spans="1:9" x14ac:dyDescent="0.2">
      <c r="B78" t="s">
        <v>355</v>
      </c>
      <c r="C78" s="32" t="s">
        <v>356</v>
      </c>
      <c r="D78" s="32" t="s">
        <v>356</v>
      </c>
      <c r="E78" s="32" t="s">
        <v>356</v>
      </c>
      <c r="F78" s="32" t="s">
        <v>366</v>
      </c>
      <c r="H78" s="32" t="s">
        <v>366</v>
      </c>
    </row>
    <row r="80" spans="1:9" x14ac:dyDescent="0.2">
      <c r="B80" s="35" t="s">
        <v>361</v>
      </c>
      <c r="C80" s="32" t="s">
        <v>362</v>
      </c>
      <c r="D80" s="32" t="s">
        <v>362</v>
      </c>
      <c r="E80" s="32" t="s">
        <v>362</v>
      </c>
      <c r="F80" s="32" t="s">
        <v>369</v>
      </c>
      <c r="H80" s="32" t="s">
        <v>385</v>
      </c>
    </row>
    <row r="81" spans="1:11" x14ac:dyDescent="0.2">
      <c r="A81" s="28" t="s">
        <v>298</v>
      </c>
      <c r="B81" t="s">
        <v>399</v>
      </c>
      <c r="C81" s="32" t="s">
        <v>380</v>
      </c>
      <c r="D81" s="32" t="s">
        <v>380</v>
      </c>
      <c r="E81" s="32" t="s">
        <v>380</v>
      </c>
      <c r="F81" s="32" t="s">
        <v>370</v>
      </c>
      <c r="H81" s="32" t="s">
        <v>367</v>
      </c>
    </row>
    <row r="82" spans="1:11" x14ac:dyDescent="0.2">
      <c r="A82" s="28" t="s">
        <v>299</v>
      </c>
      <c r="B82" t="s">
        <v>400</v>
      </c>
      <c r="C82" s="32" t="s">
        <v>380</v>
      </c>
      <c r="D82" s="32" t="s">
        <v>380</v>
      </c>
      <c r="E82" s="32" t="s">
        <v>380</v>
      </c>
      <c r="F82" s="32" t="s">
        <v>370</v>
      </c>
      <c r="H82" s="32" t="s">
        <v>367</v>
      </c>
    </row>
    <row r="84" spans="1:11" x14ac:dyDescent="0.2">
      <c r="A84" s="28" t="s">
        <v>311</v>
      </c>
      <c r="C84" s="32" t="s">
        <v>371</v>
      </c>
      <c r="D84" s="32" t="s">
        <v>371</v>
      </c>
      <c r="E84" s="32" t="s">
        <v>371</v>
      </c>
      <c r="F84" s="32" t="s">
        <v>379</v>
      </c>
      <c r="H84" s="32" t="s">
        <v>371</v>
      </c>
    </row>
    <row r="85" spans="1:11" x14ac:dyDescent="0.2">
      <c r="A85" s="28" t="s">
        <v>301</v>
      </c>
      <c r="C85" s="32" t="s">
        <v>371</v>
      </c>
      <c r="D85" s="32" t="s">
        <v>371</v>
      </c>
      <c r="E85" s="32" t="s">
        <v>371</v>
      </c>
      <c r="F85" s="32" t="s">
        <v>379</v>
      </c>
      <c r="H85" s="32" t="s">
        <v>371</v>
      </c>
    </row>
    <row r="86" spans="1:11" x14ac:dyDescent="0.2">
      <c r="A86" s="28" t="s">
        <v>302</v>
      </c>
      <c r="C86" s="32" t="s">
        <v>371</v>
      </c>
      <c r="D86" s="32" t="s">
        <v>371</v>
      </c>
      <c r="E86" s="32" t="s">
        <v>371</v>
      </c>
      <c r="F86" s="32" t="s">
        <v>379</v>
      </c>
      <c r="H86" s="32" t="s">
        <v>371</v>
      </c>
    </row>
    <row r="87" spans="1:11" x14ac:dyDescent="0.2">
      <c r="A87" s="28" t="s">
        <v>303</v>
      </c>
      <c r="C87" s="32" t="s">
        <v>376</v>
      </c>
      <c r="D87" s="32" t="s">
        <v>376</v>
      </c>
      <c r="E87" s="32" t="s">
        <v>376</v>
      </c>
      <c r="F87" s="32" t="s">
        <v>379</v>
      </c>
      <c r="H87" s="32" t="s">
        <v>264</v>
      </c>
    </row>
    <row r="88" spans="1:11" x14ac:dyDescent="0.2">
      <c r="A88" s="28" t="s">
        <v>304</v>
      </c>
      <c r="C88" s="32" t="s">
        <v>376</v>
      </c>
      <c r="D88" s="32" t="s">
        <v>376</v>
      </c>
      <c r="E88" s="32" t="s">
        <v>376</v>
      </c>
      <c r="F88" s="32" t="s">
        <v>379</v>
      </c>
      <c r="H88" s="32" t="s">
        <v>264</v>
      </c>
    </row>
    <row r="92" spans="1:11" x14ac:dyDescent="0.2">
      <c r="A92" s="28" t="s">
        <v>305</v>
      </c>
      <c r="H92" s="31" t="s">
        <v>386</v>
      </c>
      <c r="I92" s="31"/>
    </row>
    <row r="93" spans="1:11" x14ac:dyDescent="0.2">
      <c r="A93" s="28" t="s">
        <v>393</v>
      </c>
      <c r="H93" s="32" t="s">
        <v>324</v>
      </c>
      <c r="J93" s="31" t="s">
        <v>346</v>
      </c>
    </row>
    <row r="94" spans="1:11" x14ac:dyDescent="0.2">
      <c r="H94" s="32" t="s">
        <v>324</v>
      </c>
      <c r="J94" s="32" t="s">
        <v>324</v>
      </c>
    </row>
    <row r="95" spans="1:11" x14ac:dyDescent="0.2">
      <c r="C95" s="32" t="s">
        <v>35</v>
      </c>
      <c r="D95" s="32" t="s">
        <v>22</v>
      </c>
      <c r="E95" s="32" t="s">
        <v>36</v>
      </c>
      <c r="F95" s="32" t="s">
        <v>37</v>
      </c>
      <c r="H95" s="32" t="s">
        <v>324</v>
      </c>
      <c r="J95" s="32" t="s">
        <v>325</v>
      </c>
    </row>
    <row r="96" spans="1:11" x14ac:dyDescent="0.2">
      <c r="A96" s="28" t="s">
        <v>297</v>
      </c>
      <c r="B96" s="27" t="s">
        <v>306</v>
      </c>
      <c r="C96" s="32" t="s">
        <v>307</v>
      </c>
      <c r="D96" s="32" t="s">
        <v>317</v>
      </c>
      <c r="E96" s="32" t="s">
        <v>307</v>
      </c>
      <c r="F96" s="32" t="s">
        <v>317</v>
      </c>
      <c r="H96" s="32" t="s">
        <v>325</v>
      </c>
      <c r="I96" s="31" t="s">
        <v>335</v>
      </c>
      <c r="K96" s="31" t="s">
        <v>335</v>
      </c>
    </row>
    <row r="97" spans="1:12" x14ac:dyDescent="0.2">
      <c r="C97" s="32" t="s">
        <v>308</v>
      </c>
      <c r="D97" s="32" t="s">
        <v>318</v>
      </c>
      <c r="E97" s="32" t="s">
        <v>351</v>
      </c>
      <c r="F97" s="32" t="s">
        <v>318</v>
      </c>
      <c r="H97" s="32" t="s">
        <v>84</v>
      </c>
      <c r="J97" s="32" t="s">
        <v>337</v>
      </c>
      <c r="L97" s="32" t="s">
        <v>337</v>
      </c>
    </row>
    <row r="98" spans="1:12" x14ac:dyDescent="0.2">
      <c r="C98" s="34" t="s">
        <v>314</v>
      </c>
      <c r="D98" s="34" t="s">
        <v>314</v>
      </c>
      <c r="E98" s="34" t="s">
        <v>314</v>
      </c>
      <c r="F98" s="34" t="s">
        <v>314</v>
      </c>
      <c r="H98" s="34" t="s">
        <v>341</v>
      </c>
      <c r="J98" s="34" t="s">
        <v>314</v>
      </c>
    </row>
    <row r="99" spans="1:12" x14ac:dyDescent="0.2">
      <c r="A99" s="28" t="s">
        <v>266</v>
      </c>
      <c r="B99" t="s">
        <v>400</v>
      </c>
      <c r="C99" s="32" t="s">
        <v>310</v>
      </c>
      <c r="D99" s="32" t="s">
        <v>319</v>
      </c>
      <c r="E99" s="32" t="s">
        <v>310</v>
      </c>
      <c r="F99" s="32" t="s">
        <v>319</v>
      </c>
      <c r="H99" s="32" t="s">
        <v>334</v>
      </c>
      <c r="L99" s="32" t="s">
        <v>401</v>
      </c>
    </row>
    <row r="100" spans="1:12" x14ac:dyDescent="0.2">
      <c r="A100" s="28" t="s">
        <v>349</v>
      </c>
      <c r="C100" s="32" t="s">
        <v>350</v>
      </c>
      <c r="D100" s="32" t="s">
        <v>350</v>
      </c>
      <c r="E100" s="32" t="s">
        <v>35</v>
      </c>
      <c r="F100" s="32" t="s">
        <v>22</v>
      </c>
      <c r="J100" s="32" t="s">
        <v>397</v>
      </c>
      <c r="L100" s="32" t="s">
        <v>402</v>
      </c>
    </row>
    <row r="102" spans="1:12" x14ac:dyDescent="0.2">
      <c r="A102" s="28" t="s">
        <v>300</v>
      </c>
      <c r="B102" t="s">
        <v>400</v>
      </c>
      <c r="C102" s="32" t="s">
        <v>264</v>
      </c>
      <c r="D102" s="32" t="s">
        <v>264</v>
      </c>
      <c r="E102" s="32" t="s">
        <v>264</v>
      </c>
      <c r="F102" s="32" t="s">
        <v>264</v>
      </c>
      <c r="H102" s="32" t="s">
        <v>264</v>
      </c>
      <c r="J102" s="32" t="s">
        <v>264</v>
      </c>
      <c r="L102" s="32" t="s">
        <v>264</v>
      </c>
    </row>
    <row r="104" spans="1:12" x14ac:dyDescent="0.2">
      <c r="A104" s="28" t="s">
        <v>296</v>
      </c>
      <c r="B104" s="36"/>
      <c r="C104" s="37"/>
      <c r="D104" s="37"/>
      <c r="E104" s="37"/>
      <c r="F104" s="37"/>
      <c r="G104" s="37"/>
      <c r="H104" s="37"/>
      <c r="I104" s="37"/>
      <c r="J104" s="37"/>
      <c r="K104" s="37"/>
      <c r="L104" s="37"/>
    </row>
    <row r="105" spans="1:12" x14ac:dyDescent="0.2">
      <c r="B105" t="s">
        <v>354</v>
      </c>
      <c r="C105" s="32" t="s">
        <v>358</v>
      </c>
      <c r="D105" s="32" t="s">
        <v>394</v>
      </c>
      <c r="E105" s="32" t="s">
        <v>394</v>
      </c>
      <c r="F105" s="32" t="s">
        <v>394</v>
      </c>
      <c r="H105" s="32" t="s">
        <v>369</v>
      </c>
      <c r="J105" s="32" t="s">
        <v>394</v>
      </c>
      <c r="L105" s="32" t="s">
        <v>369</v>
      </c>
    </row>
    <row r="106" spans="1:12" x14ac:dyDescent="0.2">
      <c r="B106" t="s">
        <v>355</v>
      </c>
      <c r="C106" s="32" t="s">
        <v>356</v>
      </c>
      <c r="D106" s="32" t="s">
        <v>356</v>
      </c>
      <c r="E106" s="32" t="s">
        <v>356</v>
      </c>
      <c r="F106" s="32" t="s">
        <v>356</v>
      </c>
      <c r="H106" s="32" t="s">
        <v>366</v>
      </c>
      <c r="J106" s="32" t="s">
        <v>366</v>
      </c>
      <c r="L106" s="32" t="s">
        <v>366</v>
      </c>
    </row>
    <row r="108" spans="1:12" x14ac:dyDescent="0.2">
      <c r="B108" s="35" t="s">
        <v>361</v>
      </c>
      <c r="C108" s="32" t="s">
        <v>362</v>
      </c>
      <c r="D108" s="32" t="s">
        <v>364</v>
      </c>
      <c r="E108" s="32" t="s">
        <v>364</v>
      </c>
      <c r="F108" s="32" t="s">
        <v>364</v>
      </c>
      <c r="H108" s="32" t="s">
        <v>369</v>
      </c>
      <c r="J108" s="32" t="s">
        <v>364</v>
      </c>
      <c r="L108" s="32" t="s">
        <v>369</v>
      </c>
    </row>
    <row r="109" spans="1:12" x14ac:dyDescent="0.2">
      <c r="A109" s="28" t="s">
        <v>298</v>
      </c>
      <c r="B109" t="s">
        <v>399</v>
      </c>
      <c r="C109" s="32" t="s">
        <v>380</v>
      </c>
      <c r="D109" s="32" t="s">
        <v>395</v>
      </c>
      <c r="E109" s="32" t="s">
        <v>395</v>
      </c>
      <c r="F109" s="32" t="s">
        <v>395</v>
      </c>
      <c r="H109" s="32" t="s">
        <v>370</v>
      </c>
      <c r="J109" s="32" t="s">
        <v>398</v>
      </c>
      <c r="L109" s="32" t="s">
        <v>370</v>
      </c>
    </row>
    <row r="110" spans="1:12" x14ac:dyDescent="0.2">
      <c r="A110" s="28" t="s">
        <v>299</v>
      </c>
      <c r="B110" t="s">
        <v>400</v>
      </c>
      <c r="C110" s="32" t="s">
        <v>380</v>
      </c>
      <c r="D110" s="32" t="s">
        <v>396</v>
      </c>
      <c r="E110" s="32" t="s">
        <v>396</v>
      </c>
      <c r="F110" s="32" t="s">
        <v>396</v>
      </c>
      <c r="H110" s="32" t="s">
        <v>370</v>
      </c>
      <c r="J110" s="32" t="s">
        <v>398</v>
      </c>
      <c r="L110" s="32" t="s">
        <v>370</v>
      </c>
    </row>
    <row r="112" spans="1:12" x14ac:dyDescent="0.2">
      <c r="A112" s="28" t="s">
        <v>311</v>
      </c>
      <c r="C112" s="32" t="s">
        <v>371</v>
      </c>
      <c r="D112" s="32" t="s">
        <v>373</v>
      </c>
      <c r="E112" s="32" t="s">
        <v>373</v>
      </c>
      <c r="F112" s="32" t="s">
        <v>373</v>
      </c>
      <c r="H112" s="32" t="s">
        <v>379</v>
      </c>
      <c r="J112" s="32" t="s">
        <v>373</v>
      </c>
      <c r="L112" s="32" t="s">
        <v>379</v>
      </c>
    </row>
    <row r="113" spans="1:12" x14ac:dyDescent="0.2">
      <c r="A113" s="28" t="s">
        <v>301</v>
      </c>
      <c r="C113" s="32" t="s">
        <v>371</v>
      </c>
      <c r="D113" s="32" t="s">
        <v>373</v>
      </c>
      <c r="E113" s="32" t="s">
        <v>373</v>
      </c>
      <c r="F113" s="32" t="s">
        <v>373</v>
      </c>
      <c r="H113" s="32" t="s">
        <v>379</v>
      </c>
      <c r="J113" s="32" t="s">
        <v>373</v>
      </c>
      <c r="L113" s="32" t="s">
        <v>379</v>
      </c>
    </row>
    <row r="114" spans="1:12" x14ac:dyDescent="0.2">
      <c r="A114" s="28" t="s">
        <v>302</v>
      </c>
      <c r="C114" s="32" t="s">
        <v>371</v>
      </c>
      <c r="D114" s="32" t="s">
        <v>373</v>
      </c>
      <c r="E114" s="32" t="s">
        <v>373</v>
      </c>
      <c r="F114" s="32" t="s">
        <v>373</v>
      </c>
      <c r="H114" s="32" t="s">
        <v>379</v>
      </c>
      <c r="J114" s="32" t="s">
        <v>373</v>
      </c>
      <c r="L114" s="32" t="s">
        <v>379</v>
      </c>
    </row>
    <row r="115" spans="1:12" x14ac:dyDescent="0.2">
      <c r="A115" s="28" t="s">
        <v>303</v>
      </c>
      <c r="C115" s="32" t="s">
        <v>376</v>
      </c>
      <c r="D115" s="32" t="s">
        <v>378</v>
      </c>
      <c r="E115" s="32" t="s">
        <v>378</v>
      </c>
      <c r="F115" s="32" t="s">
        <v>378</v>
      </c>
      <c r="H115" s="32" t="s">
        <v>379</v>
      </c>
      <c r="J115" s="32" t="s">
        <v>378</v>
      </c>
      <c r="L115" s="32" t="s">
        <v>379</v>
      </c>
    </row>
    <row r="116" spans="1:12" x14ac:dyDescent="0.2">
      <c r="A116" s="28" t="s">
        <v>304</v>
      </c>
      <c r="C116" s="32" t="s">
        <v>376</v>
      </c>
      <c r="D116" s="32" t="s">
        <v>378</v>
      </c>
      <c r="E116" s="32" t="s">
        <v>378</v>
      </c>
      <c r="F116" s="32" t="s">
        <v>378</v>
      </c>
      <c r="H116" s="32" t="s">
        <v>379</v>
      </c>
      <c r="J116" s="32" t="s">
        <v>378</v>
      </c>
      <c r="L116" s="32" t="s">
        <v>379</v>
      </c>
    </row>
    <row r="120" spans="1:12" x14ac:dyDescent="0.2">
      <c r="A120" s="28" t="s">
        <v>305</v>
      </c>
      <c r="B120" s="28"/>
      <c r="D120" s="31" t="s">
        <v>326</v>
      </c>
    </row>
    <row r="121" spans="1:12" x14ac:dyDescent="0.2">
      <c r="A121" s="28" t="s">
        <v>406</v>
      </c>
      <c r="B121" s="28"/>
      <c r="D121" s="32" t="s">
        <v>324</v>
      </c>
      <c r="E121" s="31" t="s">
        <v>420</v>
      </c>
    </row>
    <row r="122" spans="1:12" x14ac:dyDescent="0.2">
      <c r="B122" s="28"/>
      <c r="D122" s="32" t="s">
        <v>324</v>
      </c>
      <c r="E122" s="31" t="s">
        <v>423</v>
      </c>
    </row>
    <row r="123" spans="1:12" x14ac:dyDescent="0.2">
      <c r="B123" s="28"/>
      <c r="D123" s="32" t="s">
        <v>324</v>
      </c>
      <c r="E123" s="32" t="s">
        <v>324</v>
      </c>
    </row>
    <row r="124" spans="1:12" x14ac:dyDescent="0.2">
      <c r="B124" s="28"/>
      <c r="D124" s="32" t="s">
        <v>325</v>
      </c>
      <c r="E124" s="32" t="s">
        <v>324</v>
      </c>
    </row>
    <row r="125" spans="1:12" x14ac:dyDescent="0.2">
      <c r="A125" s="28" t="s">
        <v>297</v>
      </c>
      <c r="B125" s="27" t="s">
        <v>306</v>
      </c>
      <c r="C125" s="32" t="s">
        <v>307</v>
      </c>
      <c r="D125" s="32" t="s">
        <v>321</v>
      </c>
      <c r="E125" s="32" t="s">
        <v>325</v>
      </c>
    </row>
    <row r="126" spans="1:12" x14ac:dyDescent="0.2">
      <c r="C126" s="32" t="s">
        <v>308</v>
      </c>
      <c r="D126" s="32" t="s">
        <v>322</v>
      </c>
      <c r="E126" s="32" t="s">
        <v>409</v>
      </c>
    </row>
    <row r="127" spans="1:12" x14ac:dyDescent="0.2">
      <c r="C127" s="34" t="s">
        <v>314</v>
      </c>
      <c r="D127" s="34" t="s">
        <v>314</v>
      </c>
    </row>
    <row r="128" spans="1:12" x14ac:dyDescent="0.2">
      <c r="A128" s="28" t="s">
        <v>403</v>
      </c>
      <c r="B128" t="s">
        <v>400</v>
      </c>
      <c r="C128" s="32" t="s">
        <v>310</v>
      </c>
      <c r="D128" s="32" t="s">
        <v>323</v>
      </c>
      <c r="E128" s="31" t="s">
        <v>422</v>
      </c>
    </row>
    <row r="129" spans="1:8" x14ac:dyDescent="0.2">
      <c r="A129" s="28" t="s">
        <v>419</v>
      </c>
      <c r="C129" s="32" t="s">
        <v>350</v>
      </c>
      <c r="D129" s="32" t="s">
        <v>350</v>
      </c>
    </row>
    <row r="131" spans="1:8" x14ac:dyDescent="0.2">
      <c r="A131" s="28" t="s">
        <v>300</v>
      </c>
      <c r="B131" t="s">
        <v>400</v>
      </c>
      <c r="C131" s="32" t="s">
        <v>264</v>
      </c>
      <c r="D131" s="32" t="s">
        <v>407</v>
      </c>
      <c r="E131" s="32" t="s">
        <v>421</v>
      </c>
    </row>
    <row r="133" spans="1:8" x14ac:dyDescent="0.2">
      <c r="A133" s="28" t="s">
        <v>296</v>
      </c>
      <c r="B133" s="36"/>
      <c r="C133" s="37"/>
      <c r="D133" s="37"/>
      <c r="E133" s="37"/>
      <c r="F133" s="37"/>
      <c r="G133" s="37"/>
      <c r="H133" s="37"/>
    </row>
    <row r="134" spans="1:8" x14ac:dyDescent="0.2">
      <c r="B134" t="s">
        <v>354</v>
      </c>
      <c r="C134" s="32" t="s">
        <v>357</v>
      </c>
      <c r="D134" s="29" t="s">
        <v>424</v>
      </c>
      <c r="E134" s="32" t="s">
        <v>425</v>
      </c>
    </row>
    <row r="135" spans="1:8" x14ac:dyDescent="0.2">
      <c r="B135" t="s">
        <v>355</v>
      </c>
      <c r="C135" s="32" t="s">
        <v>356</v>
      </c>
      <c r="D135" s="32" t="s">
        <v>356</v>
      </c>
      <c r="E135" s="32" t="s">
        <v>366</v>
      </c>
    </row>
    <row r="137" spans="1:8" x14ac:dyDescent="0.2">
      <c r="B137" s="35" t="s">
        <v>361</v>
      </c>
      <c r="C137" s="32" t="s">
        <v>362</v>
      </c>
      <c r="D137" s="32" t="s">
        <v>365</v>
      </c>
      <c r="E137" s="32" t="s">
        <v>362</v>
      </c>
    </row>
    <row r="138" spans="1:8" x14ac:dyDescent="0.2">
      <c r="A138" s="28" t="s">
        <v>404</v>
      </c>
      <c r="B138" t="s">
        <v>399</v>
      </c>
      <c r="C138" s="32" t="s">
        <v>380</v>
      </c>
      <c r="D138" s="32" t="s">
        <v>384</v>
      </c>
      <c r="E138" s="32" t="s">
        <v>367</v>
      </c>
    </row>
    <row r="139" spans="1:8" x14ac:dyDescent="0.2">
      <c r="A139" s="28" t="s">
        <v>405</v>
      </c>
      <c r="B139" t="s">
        <v>400</v>
      </c>
      <c r="C139" s="32" t="s">
        <v>380</v>
      </c>
      <c r="D139" s="32" t="s">
        <v>384</v>
      </c>
      <c r="E139" s="32" t="s">
        <v>367</v>
      </c>
    </row>
    <row r="141" spans="1:8" x14ac:dyDescent="0.2">
      <c r="A141" s="28" t="s">
        <v>311</v>
      </c>
      <c r="C141" s="32" t="s">
        <v>371</v>
      </c>
      <c r="D141" s="32" t="s">
        <v>374</v>
      </c>
      <c r="E141" s="32" t="s">
        <v>371</v>
      </c>
    </row>
    <row r="142" spans="1:8" x14ac:dyDescent="0.2">
      <c r="A142" s="28" t="s">
        <v>301</v>
      </c>
      <c r="C142" s="32" t="s">
        <v>371</v>
      </c>
      <c r="D142" s="32" t="s">
        <v>375</v>
      </c>
      <c r="E142" s="32" t="s">
        <v>371</v>
      </c>
    </row>
    <row r="143" spans="1:8" x14ac:dyDescent="0.2">
      <c r="A143" s="28" t="s">
        <v>302</v>
      </c>
      <c r="C143" s="32" t="s">
        <v>371</v>
      </c>
      <c r="D143" s="32" t="s">
        <v>375</v>
      </c>
      <c r="E143" s="32" t="s">
        <v>371</v>
      </c>
    </row>
    <row r="144" spans="1:8" x14ac:dyDescent="0.2">
      <c r="A144" s="28" t="s">
        <v>303</v>
      </c>
      <c r="C144" s="32" t="s">
        <v>376</v>
      </c>
      <c r="D144" s="32" t="s">
        <v>374</v>
      </c>
      <c r="E144" s="32" t="s">
        <v>376</v>
      </c>
    </row>
    <row r="145" spans="1:5" x14ac:dyDescent="0.2">
      <c r="A145" s="28" t="s">
        <v>304</v>
      </c>
      <c r="C145" s="32" t="s">
        <v>376</v>
      </c>
      <c r="D145" s="32" t="s">
        <v>374</v>
      </c>
      <c r="E145" s="32" t="s">
        <v>376</v>
      </c>
    </row>
    <row r="149" spans="1:5" x14ac:dyDescent="0.2">
      <c r="A149" s="28" t="s">
        <v>305</v>
      </c>
      <c r="B149" s="28"/>
      <c r="C149" s="31" t="s">
        <v>326</v>
      </c>
    </row>
    <row r="150" spans="1:5" x14ac:dyDescent="0.2">
      <c r="A150" s="28" t="s">
        <v>426</v>
      </c>
      <c r="B150" s="28"/>
      <c r="C150" s="32" t="s">
        <v>324</v>
      </c>
      <c r="D150" s="31" t="s">
        <v>420</v>
      </c>
    </row>
    <row r="151" spans="1:5" x14ac:dyDescent="0.2">
      <c r="B151" s="28"/>
      <c r="C151" s="32" t="s">
        <v>324</v>
      </c>
      <c r="D151" s="31" t="s">
        <v>423</v>
      </c>
    </row>
    <row r="152" spans="1:5" x14ac:dyDescent="0.2">
      <c r="B152" s="28"/>
      <c r="C152" s="32" t="s">
        <v>324</v>
      </c>
      <c r="D152" s="32" t="s">
        <v>324</v>
      </c>
      <c r="E152" s="31" t="s">
        <v>431</v>
      </c>
    </row>
    <row r="153" spans="1:5" x14ac:dyDescent="0.2">
      <c r="B153" s="28"/>
      <c r="C153" s="32" t="s">
        <v>325</v>
      </c>
      <c r="D153" s="32" t="s">
        <v>324</v>
      </c>
      <c r="E153" s="31" t="s">
        <v>432</v>
      </c>
    </row>
    <row r="154" spans="1:5" x14ac:dyDescent="0.2">
      <c r="A154" s="28" t="s">
        <v>297</v>
      </c>
      <c r="B154" s="27" t="s">
        <v>306</v>
      </c>
      <c r="C154" s="32" t="s">
        <v>321</v>
      </c>
      <c r="D154" s="32" t="s">
        <v>325</v>
      </c>
      <c r="E154" s="32" t="s">
        <v>325</v>
      </c>
    </row>
    <row r="155" spans="1:5" x14ac:dyDescent="0.2">
      <c r="C155" s="32" t="s">
        <v>322</v>
      </c>
      <c r="D155" s="32" t="s">
        <v>409</v>
      </c>
      <c r="E155" s="32" t="s">
        <v>408</v>
      </c>
    </row>
    <row r="156" spans="1:5" x14ac:dyDescent="0.2">
      <c r="C156" s="34" t="s">
        <v>314</v>
      </c>
      <c r="D156" s="34" t="s">
        <v>336</v>
      </c>
    </row>
    <row r="157" spans="1:5" ht="22.2" customHeight="1" x14ac:dyDescent="0.2">
      <c r="A157" s="28" t="s">
        <v>403</v>
      </c>
      <c r="B157" t="s">
        <v>400</v>
      </c>
      <c r="C157" s="32" t="s">
        <v>323</v>
      </c>
      <c r="D157" s="30" t="s">
        <v>422</v>
      </c>
      <c r="E157" s="32" t="s">
        <v>429</v>
      </c>
    </row>
    <row r="158" spans="1:5" x14ac:dyDescent="0.2">
      <c r="A158" s="28" t="s">
        <v>419</v>
      </c>
      <c r="C158" s="32" t="s">
        <v>350</v>
      </c>
    </row>
    <row r="160" spans="1:5" x14ac:dyDescent="0.2">
      <c r="A160" s="28" t="s">
        <v>300</v>
      </c>
      <c r="B160" t="s">
        <v>400</v>
      </c>
      <c r="C160" s="32" t="s">
        <v>407</v>
      </c>
      <c r="D160" s="32" t="s">
        <v>421</v>
      </c>
      <c r="E160" s="32" t="s">
        <v>430</v>
      </c>
    </row>
    <row r="162" spans="1:6" x14ac:dyDescent="0.2">
      <c r="A162" s="28" t="s">
        <v>296</v>
      </c>
      <c r="B162" s="36"/>
      <c r="C162" s="37"/>
      <c r="D162" s="37"/>
      <c r="E162" s="37"/>
      <c r="F162" s="37"/>
    </row>
    <row r="163" spans="1:6" x14ac:dyDescent="0.2">
      <c r="B163" t="s">
        <v>354</v>
      </c>
      <c r="C163" s="29" t="s">
        <v>427</v>
      </c>
      <c r="D163" s="32" t="s">
        <v>368</v>
      </c>
      <c r="E163" s="32" t="s">
        <v>368</v>
      </c>
    </row>
    <row r="164" spans="1:6" x14ac:dyDescent="0.2">
      <c r="B164" t="s">
        <v>355</v>
      </c>
      <c r="C164" s="32" t="s">
        <v>356</v>
      </c>
    </row>
    <row r="166" spans="1:6" x14ac:dyDescent="0.2">
      <c r="B166" s="35" t="s">
        <v>361</v>
      </c>
      <c r="C166" s="32" t="s">
        <v>365</v>
      </c>
      <c r="D166" s="32" t="s">
        <v>368</v>
      </c>
      <c r="E166" s="32" t="s">
        <v>368</v>
      </c>
    </row>
    <row r="167" spans="1:6" x14ac:dyDescent="0.2">
      <c r="A167" s="28" t="s">
        <v>404</v>
      </c>
      <c r="B167" t="s">
        <v>399</v>
      </c>
      <c r="C167" s="32" t="s">
        <v>384</v>
      </c>
      <c r="D167" s="32" t="s">
        <v>316</v>
      </c>
      <c r="E167" s="32" t="s">
        <v>316</v>
      </c>
    </row>
    <row r="168" spans="1:6" x14ac:dyDescent="0.2">
      <c r="A168" s="28" t="s">
        <v>405</v>
      </c>
      <c r="B168" t="s">
        <v>400</v>
      </c>
      <c r="C168" s="32" t="s">
        <v>384</v>
      </c>
      <c r="D168" s="32" t="s">
        <v>316</v>
      </c>
      <c r="E168" s="32" t="s">
        <v>316</v>
      </c>
    </row>
    <row r="170" spans="1:6" x14ac:dyDescent="0.2">
      <c r="A170" s="28" t="s">
        <v>311</v>
      </c>
      <c r="C170" s="32" t="s">
        <v>374</v>
      </c>
      <c r="D170" s="32" t="s">
        <v>428</v>
      </c>
      <c r="E170" s="32" t="s">
        <v>428</v>
      </c>
    </row>
    <row r="171" spans="1:6" x14ac:dyDescent="0.2">
      <c r="A171" s="28" t="s">
        <v>301</v>
      </c>
      <c r="C171" s="32" t="s">
        <v>375</v>
      </c>
      <c r="D171" s="32" t="s">
        <v>428</v>
      </c>
      <c r="E171" s="32" t="s">
        <v>428</v>
      </c>
    </row>
    <row r="172" spans="1:6" x14ac:dyDescent="0.2">
      <c r="A172" s="28" t="s">
        <v>302</v>
      </c>
      <c r="C172" s="32" t="s">
        <v>375</v>
      </c>
      <c r="D172" s="32" t="s">
        <v>428</v>
      </c>
      <c r="E172" s="32" t="s">
        <v>428</v>
      </c>
    </row>
    <row r="173" spans="1:6" x14ac:dyDescent="0.2">
      <c r="A173" s="28" t="s">
        <v>303</v>
      </c>
      <c r="C173" s="32" t="s">
        <v>374</v>
      </c>
      <c r="D173" s="32" t="s">
        <v>428</v>
      </c>
      <c r="E173" s="32" t="s">
        <v>428</v>
      </c>
    </row>
    <row r="174" spans="1:6" x14ac:dyDescent="0.2">
      <c r="A174" s="28" t="s">
        <v>304</v>
      </c>
      <c r="C174" s="32" t="s">
        <v>374</v>
      </c>
      <c r="D174" s="32" t="s">
        <v>428</v>
      </c>
      <c r="E174" s="32" t="s">
        <v>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77B28-63CC-45F2-9A96-973729C9332A}">
  <dimension ref="A2:AD26"/>
  <sheetViews>
    <sheetView zoomScale="220" zoomScaleNormal="220" workbookViewId="0">
      <selection activeCell="C10" sqref="C10"/>
    </sheetView>
    <sheetView workbookViewId="1"/>
  </sheetViews>
  <sheetFormatPr defaultRowHeight="10.199999999999999" x14ac:dyDescent="0.2"/>
  <cols>
    <col min="1" max="1" width="4.33203125" customWidth="1"/>
    <col min="2" max="2" width="16.83203125" customWidth="1"/>
    <col min="3" max="3" width="11.83203125" customWidth="1"/>
    <col min="4" max="4" width="2.33203125" customWidth="1"/>
    <col min="5" max="7" width="11.83203125" customWidth="1"/>
    <col min="8" max="8" width="2.5" customWidth="1"/>
    <col min="9" max="11" width="11.83203125" customWidth="1"/>
    <col min="12" max="12" width="2.5" customWidth="1"/>
    <col min="13" max="16" width="11.83203125" customWidth="1"/>
  </cols>
  <sheetData>
    <row r="2" spans="1:30" ht="12" customHeight="1" x14ac:dyDescent="0.2">
      <c r="C2" s="20" t="s">
        <v>259</v>
      </c>
      <c r="E2" s="20" t="s">
        <v>258</v>
      </c>
      <c r="F2" s="20" t="s">
        <v>259</v>
      </c>
      <c r="G2" s="20" t="s">
        <v>258</v>
      </c>
    </row>
    <row r="3" spans="1:30" ht="22.2" customHeight="1" x14ac:dyDescent="0.2">
      <c r="B3" t="s">
        <v>287</v>
      </c>
      <c r="C3" t="s">
        <v>292</v>
      </c>
      <c r="E3" t="s">
        <v>293</v>
      </c>
      <c r="F3" t="s">
        <v>294</v>
      </c>
      <c r="G3" t="s">
        <v>295</v>
      </c>
    </row>
    <row r="4" spans="1:30" ht="22.2" customHeight="1" x14ac:dyDescent="0.2">
      <c r="B4" t="s">
        <v>288</v>
      </c>
      <c r="C4" t="s">
        <v>290</v>
      </c>
      <c r="E4" t="s">
        <v>291</v>
      </c>
    </row>
    <row r="5" spans="1:30" ht="9.6" customHeight="1" x14ac:dyDescent="0.2"/>
    <row r="6" spans="1:30" ht="22.2" customHeight="1" x14ac:dyDescent="0.2">
      <c r="B6" t="s">
        <v>289</v>
      </c>
      <c r="C6" t="s">
        <v>264</v>
      </c>
    </row>
    <row r="7" spans="1:30" ht="7.2" customHeight="1" x14ac:dyDescent="0.2"/>
    <row r="8" spans="1:30" ht="87.6" customHeight="1" x14ac:dyDescent="0.2">
      <c r="C8" s="1" t="s">
        <v>262</v>
      </c>
      <c r="D8" s="1"/>
      <c r="E8" s="1" t="s">
        <v>277</v>
      </c>
      <c r="F8" s="1" t="s">
        <v>275</v>
      </c>
      <c r="G8" s="1" t="s">
        <v>276</v>
      </c>
      <c r="H8" s="1"/>
      <c r="I8" s="1" t="s">
        <v>278</v>
      </c>
      <c r="J8" s="1" t="s">
        <v>279</v>
      </c>
      <c r="K8" s="1" t="s">
        <v>280</v>
      </c>
      <c r="M8" s="1" t="s">
        <v>281</v>
      </c>
      <c r="N8" s="1" t="s">
        <v>282</v>
      </c>
      <c r="O8" s="1" t="s">
        <v>279</v>
      </c>
      <c r="P8" s="1" t="s">
        <v>280</v>
      </c>
    </row>
    <row r="9" spans="1:30" x14ac:dyDescent="0.2">
      <c r="A9" s="21" t="s">
        <v>271</v>
      </c>
      <c r="B9" s="22" t="s">
        <v>255</v>
      </c>
      <c r="C9" s="20" t="str">
        <f>$C$2</f>
        <v>disabled</v>
      </c>
      <c r="D9" s="20"/>
      <c r="E9" s="20" t="str">
        <f>$E$2</f>
        <v>enabled</v>
      </c>
      <c r="F9" s="20" t="str">
        <f>$C$2</f>
        <v>disabled</v>
      </c>
      <c r="G9" s="20" t="str">
        <f>$C$2</f>
        <v>disabled</v>
      </c>
      <c r="H9" s="20"/>
      <c r="I9" s="20" t="str">
        <f>$F$2</f>
        <v>disabled</v>
      </c>
      <c r="J9" s="20" t="str">
        <f>$C$2</f>
        <v>disabled</v>
      </c>
      <c r="K9" s="20" t="str">
        <f>$C$2</f>
        <v>disabled</v>
      </c>
      <c r="L9" s="20"/>
      <c r="M9" s="20" t="str">
        <f>$E$2</f>
        <v>enabled</v>
      </c>
      <c r="N9" s="20" t="str">
        <f>$F$2</f>
        <v>disabled</v>
      </c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</row>
    <row r="10" spans="1:30" x14ac:dyDescent="0.2">
      <c r="A10" s="21"/>
      <c r="B10" s="22"/>
      <c r="C10" t="str">
        <f>$C$3</f>
        <v>A: NOT mod</v>
      </c>
      <c r="E10" t="str">
        <f>$E$3</f>
        <v>B: IS mod</v>
      </c>
      <c r="F10" t="str">
        <f>$C$3</f>
        <v>A: NOT mod</v>
      </c>
      <c r="G10" t="str">
        <f>$C$3</f>
        <v>A: NOT mod</v>
      </c>
      <c r="I10" t="str">
        <f>$F$3</f>
        <v>C: SL IS mod</v>
      </c>
      <c r="J10" t="str">
        <f>$C$3</f>
        <v>A: NOT mod</v>
      </c>
      <c r="K10" t="str">
        <f>$C$3</f>
        <v>A: NOT mod</v>
      </c>
      <c r="M10" t="str">
        <f>$E$3</f>
        <v>B: IS mod</v>
      </c>
      <c r="N10" t="str">
        <f>$F$3</f>
        <v>C: SL IS mod</v>
      </c>
    </row>
    <row r="11" spans="1:30" ht="20.399999999999999" x14ac:dyDescent="0.2">
      <c r="A11" s="21"/>
      <c r="B11" s="22"/>
      <c r="C11" t="str">
        <f>$C$4</f>
        <v>G: SL NOT mod</v>
      </c>
      <c r="E11" t="str">
        <f>$E$4</f>
        <v>H: SL NOT mod</v>
      </c>
      <c r="F11" t="str">
        <f>$C$4</f>
        <v>G: SL NOT mod</v>
      </c>
      <c r="G11" t="str">
        <f>$C$4</f>
        <v>G: SL NOT mod</v>
      </c>
      <c r="I11" t="str">
        <f>$C$6</f>
        <v>n/a</v>
      </c>
      <c r="J11" t="str">
        <f t="shared" ref="J11:K11" si="0">$C$6</f>
        <v>n/a</v>
      </c>
      <c r="K11" t="str">
        <f t="shared" si="0"/>
        <v>n/a</v>
      </c>
      <c r="M11" t="str">
        <f>$E$4</f>
        <v>H: SL NOT mod</v>
      </c>
    </row>
    <row r="12" spans="1:30" x14ac:dyDescent="0.2">
      <c r="A12" s="21"/>
    </row>
    <row r="13" spans="1:30" ht="20.399999999999999" x14ac:dyDescent="0.2">
      <c r="A13" s="21"/>
      <c r="B13" t="s">
        <v>256</v>
      </c>
      <c r="C13" t="s">
        <v>283</v>
      </c>
      <c r="E13" t="s">
        <v>274</v>
      </c>
      <c r="F13" t="s">
        <v>283</v>
      </c>
      <c r="G13" t="s">
        <v>283</v>
      </c>
      <c r="I13" t="s">
        <v>284</v>
      </c>
      <c r="J13" t="s">
        <v>283</v>
      </c>
      <c r="K13" t="s">
        <v>283</v>
      </c>
      <c r="M13" t="s">
        <v>258</v>
      </c>
      <c r="N13" t="s">
        <v>259</v>
      </c>
    </row>
    <row r="14" spans="1:30" x14ac:dyDescent="0.2">
      <c r="A14" s="21"/>
    </row>
    <row r="15" spans="1:30" ht="30.6" x14ac:dyDescent="0.2">
      <c r="A15" s="21"/>
      <c r="B15" t="s">
        <v>260</v>
      </c>
      <c r="C15" t="s">
        <v>286</v>
      </c>
      <c r="E15" t="s">
        <v>286</v>
      </c>
      <c r="F15" t="s">
        <v>286</v>
      </c>
      <c r="G15" t="s">
        <v>286</v>
      </c>
      <c r="I15" t="s">
        <v>285</v>
      </c>
      <c r="J15" t="s">
        <v>286</v>
      </c>
      <c r="K15" t="s">
        <v>286</v>
      </c>
      <c r="M15" t="s">
        <v>259</v>
      </c>
      <c r="N15" t="s">
        <v>258</v>
      </c>
    </row>
    <row r="16" spans="1:30" x14ac:dyDescent="0.2">
      <c r="A16" s="21"/>
    </row>
    <row r="17" spans="1:14" ht="30.6" x14ac:dyDescent="0.2">
      <c r="A17" s="21"/>
      <c r="B17" t="s">
        <v>261</v>
      </c>
      <c r="C17" t="s">
        <v>286</v>
      </c>
      <c r="E17" t="s">
        <v>286</v>
      </c>
      <c r="F17" t="s">
        <v>286</v>
      </c>
      <c r="G17" t="s">
        <v>286</v>
      </c>
      <c r="I17" t="s">
        <v>285</v>
      </c>
      <c r="J17" t="s">
        <v>286</v>
      </c>
      <c r="K17" t="s">
        <v>286</v>
      </c>
      <c r="M17" t="s">
        <v>259</v>
      </c>
      <c r="N17" t="s">
        <v>258</v>
      </c>
    </row>
    <row r="20" spans="1:14" ht="20.399999999999999" x14ac:dyDescent="0.2">
      <c r="A20" s="21" t="s">
        <v>272</v>
      </c>
      <c r="B20" t="s">
        <v>266</v>
      </c>
      <c r="C20" t="s">
        <v>269</v>
      </c>
      <c r="E20" t="s">
        <v>270</v>
      </c>
      <c r="F20" t="s">
        <v>268</v>
      </c>
      <c r="G20" t="s">
        <v>128</v>
      </c>
      <c r="I20" t="s">
        <v>264</v>
      </c>
      <c r="J20" t="s">
        <v>264</v>
      </c>
      <c r="K20" t="s">
        <v>264</v>
      </c>
      <c r="M20" t="s">
        <v>270</v>
      </c>
      <c r="N20" t="s">
        <v>270</v>
      </c>
    </row>
    <row r="21" spans="1:14" x14ac:dyDescent="0.2">
      <c r="A21" s="21"/>
    </row>
    <row r="22" spans="1:14" ht="20.399999999999999" x14ac:dyDescent="0.2">
      <c r="A22" s="21"/>
      <c r="B22" t="s">
        <v>257</v>
      </c>
      <c r="C22" t="s">
        <v>269</v>
      </c>
      <c r="E22" t="s">
        <v>270</v>
      </c>
      <c r="F22" t="s">
        <v>268</v>
      </c>
      <c r="G22" t="s">
        <v>273</v>
      </c>
      <c r="I22" t="s">
        <v>270</v>
      </c>
      <c r="J22" t="s">
        <v>268</v>
      </c>
      <c r="K22" t="s">
        <v>273</v>
      </c>
      <c r="M22" t="s">
        <v>270</v>
      </c>
      <c r="N22" t="s">
        <v>270</v>
      </c>
    </row>
    <row r="23" spans="1:14" x14ac:dyDescent="0.2">
      <c r="A23" s="21"/>
    </row>
    <row r="24" spans="1:14" ht="20.399999999999999" x14ac:dyDescent="0.2">
      <c r="A24" s="21"/>
      <c r="B24" t="s">
        <v>267</v>
      </c>
      <c r="C24" t="s">
        <v>269</v>
      </c>
      <c r="E24" t="s">
        <v>263</v>
      </c>
      <c r="F24" t="s">
        <v>264</v>
      </c>
      <c r="G24" t="s">
        <v>264</v>
      </c>
      <c r="I24" t="s">
        <v>270</v>
      </c>
      <c r="J24" t="s">
        <v>268</v>
      </c>
      <c r="K24" t="s">
        <v>273</v>
      </c>
      <c r="M24" t="s">
        <v>263</v>
      </c>
      <c r="N24" t="s">
        <v>270</v>
      </c>
    </row>
    <row r="26" spans="1:14" x14ac:dyDescent="0.2">
      <c r="B26" t="s">
        <v>265</v>
      </c>
      <c r="C26" t="s">
        <v>263</v>
      </c>
      <c r="E26" t="s">
        <v>263</v>
      </c>
      <c r="F26" t="s">
        <v>264</v>
      </c>
      <c r="G26" t="s">
        <v>264</v>
      </c>
      <c r="I26" t="s">
        <v>91</v>
      </c>
      <c r="J26" t="s">
        <v>122</v>
      </c>
      <c r="K26" t="s">
        <v>128</v>
      </c>
      <c r="M26" t="s">
        <v>263</v>
      </c>
      <c r="N26" t="s">
        <v>91</v>
      </c>
    </row>
  </sheetData>
  <mergeCells count="3">
    <mergeCell ref="A9:A17"/>
    <mergeCell ref="A20:A24"/>
    <mergeCell ref="B9:B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57211-060B-45C6-A091-CC2A184F9A01}">
  <dimension ref="A1:AX97"/>
  <sheetViews>
    <sheetView topLeftCell="A3" zoomScale="160" zoomScaleNormal="160" workbookViewId="0">
      <pane xSplit="11" ySplit="4" topLeftCell="L74" activePane="bottomRight" state="frozen"/>
      <selection activeCell="A3" sqref="A3"/>
      <selection pane="topRight" activeCell="F3" sqref="F3"/>
      <selection pane="bottomLeft" activeCell="A7" sqref="A7"/>
      <selection pane="bottomRight" activeCell="AP78" sqref="AP78"/>
    </sheetView>
    <sheetView workbookViewId="1"/>
  </sheetViews>
  <sheetFormatPr defaultRowHeight="10.199999999999999" x14ac:dyDescent="0.2"/>
  <cols>
    <col min="1" max="1" width="5.83203125" customWidth="1"/>
    <col min="2" max="7" width="1.83203125" customWidth="1"/>
    <col min="8" max="8" width="9.83203125" customWidth="1"/>
    <col min="9" max="9" width="10.83203125" customWidth="1"/>
    <col min="10" max="10" width="9.5" customWidth="1"/>
    <col min="11" max="11" width="9.83203125" customWidth="1"/>
    <col min="12" max="15" width="10.5" customWidth="1"/>
    <col min="16" max="16" width="10.83203125" customWidth="1"/>
    <col min="17" max="17" width="9.6640625" customWidth="1"/>
    <col min="18" max="18" width="3.83203125" customWidth="1"/>
    <col min="19" max="19" width="10.5" customWidth="1"/>
    <col min="20" max="24" width="15.83203125" customWidth="1"/>
    <col min="25" max="25" width="9" customWidth="1"/>
    <col min="26" max="26" width="3" customWidth="1"/>
    <col min="27" max="27" width="9" customWidth="1"/>
    <col min="28" max="32" width="9.1640625" customWidth="1"/>
    <col min="33" max="33" width="2" customWidth="1"/>
    <col min="34" max="37" width="3.1640625" customWidth="1"/>
    <col min="38" max="38" width="11.83203125" customWidth="1"/>
    <col min="39" max="40" width="16.6640625" customWidth="1"/>
    <col min="41" max="41" width="3.6640625" customWidth="1"/>
    <col min="42" max="43" width="14.83203125" customWidth="1"/>
    <col min="44" max="44" width="4.1640625" customWidth="1"/>
    <col min="45" max="47" width="10.5" customWidth="1"/>
    <col min="50" max="50" width="42" customWidth="1"/>
  </cols>
  <sheetData>
    <row r="1" spans="1:50" ht="20.399999999999999" x14ac:dyDescent="0.2">
      <c r="H1" s="7" t="s">
        <v>0</v>
      </c>
    </row>
    <row r="2" spans="1:50" s="3" customFormat="1" ht="13.8" x14ac:dyDescent="0.3">
      <c r="A2" s="8"/>
      <c r="B2" s="8"/>
      <c r="C2" s="8"/>
      <c r="D2" s="8"/>
      <c r="E2" s="8"/>
      <c r="F2" s="8"/>
      <c r="G2" s="8"/>
      <c r="H2" s="9"/>
      <c r="I2"/>
      <c r="J2"/>
      <c r="K2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/>
      <c r="AB2"/>
      <c r="AC2"/>
      <c r="AD2"/>
      <c r="AE2"/>
      <c r="AF2"/>
      <c r="AG2" s="8"/>
      <c r="AH2" s="8"/>
      <c r="AI2" s="8"/>
      <c r="AJ2" s="8"/>
      <c r="AK2" s="8"/>
      <c r="AL2" s="8"/>
      <c r="AM2" s="10"/>
      <c r="AN2" s="10"/>
      <c r="AO2"/>
      <c r="AP2"/>
      <c r="AQ2"/>
      <c r="AR2"/>
      <c r="AS2"/>
      <c r="AT2"/>
      <c r="AU2"/>
      <c r="AV2"/>
      <c r="AW2"/>
      <c r="AX2"/>
    </row>
    <row r="3" spans="1:50" s="3" customFormat="1" ht="13.8" x14ac:dyDescent="0.3">
      <c r="A3" s="8"/>
      <c r="B3" s="8"/>
      <c r="C3" s="8"/>
      <c r="D3" s="8"/>
      <c r="E3" s="8"/>
      <c r="F3" s="8"/>
      <c r="G3" s="8"/>
      <c r="H3" s="9"/>
      <c r="I3"/>
      <c r="J3"/>
      <c r="K3"/>
      <c r="L3" s="26" t="s">
        <v>195</v>
      </c>
      <c r="M3" s="26"/>
      <c r="N3" s="26"/>
      <c r="O3" s="26"/>
      <c r="P3" s="26"/>
      <c r="Q3" s="26"/>
      <c r="R3" s="10"/>
      <c r="S3" s="16"/>
      <c r="T3" s="26" t="s">
        <v>60</v>
      </c>
      <c r="U3" s="26"/>
      <c r="V3" s="26"/>
      <c r="W3" s="26"/>
      <c r="X3" s="26"/>
      <c r="Y3" s="10"/>
      <c r="Z3" s="10"/>
      <c r="AA3"/>
      <c r="AB3" s="26" t="s">
        <v>51</v>
      </c>
      <c r="AC3" s="26"/>
      <c r="AD3" s="26"/>
      <c r="AE3" s="26"/>
      <c r="AF3" s="26"/>
      <c r="AG3" s="8"/>
      <c r="AH3" s="8"/>
      <c r="AI3" s="8"/>
      <c r="AJ3" s="8"/>
      <c r="AK3" s="8"/>
      <c r="AL3" s="8"/>
      <c r="AM3" s="26" t="s">
        <v>46</v>
      </c>
      <c r="AN3" s="26"/>
      <c r="AO3"/>
      <c r="AP3" s="26" t="s">
        <v>47</v>
      </c>
      <c r="AQ3" s="26"/>
      <c r="AR3"/>
      <c r="AS3"/>
      <c r="AT3"/>
      <c r="AU3"/>
      <c r="AV3"/>
      <c r="AW3"/>
      <c r="AX3"/>
    </row>
    <row r="4" spans="1:50" s="2" customFormat="1" ht="104.4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 t="s">
        <v>68</v>
      </c>
      <c r="M4" s="12" t="s">
        <v>82</v>
      </c>
      <c r="N4" s="12" t="s">
        <v>83</v>
      </c>
      <c r="O4" s="12" t="s">
        <v>69</v>
      </c>
      <c r="P4" s="12" t="s">
        <v>81</v>
      </c>
      <c r="Q4" s="12" t="s">
        <v>70</v>
      </c>
      <c r="R4" s="12"/>
      <c r="S4" s="17" t="s">
        <v>165</v>
      </c>
      <c r="T4" s="12" t="s">
        <v>71</v>
      </c>
      <c r="U4" s="12" t="s">
        <v>66</v>
      </c>
      <c r="V4" s="12" t="s">
        <v>67</v>
      </c>
      <c r="W4" s="12" t="s">
        <v>114</v>
      </c>
      <c r="X4" s="12" t="s">
        <v>115</v>
      </c>
      <c r="Z4" s="12"/>
      <c r="AA4" s="12"/>
      <c r="AB4" s="12" t="s">
        <v>71</v>
      </c>
      <c r="AC4" s="12" t="s">
        <v>66</v>
      </c>
      <c r="AD4" s="12" t="s">
        <v>67</v>
      </c>
      <c r="AE4" s="12" t="s">
        <v>73</v>
      </c>
      <c r="AF4" s="12" t="s">
        <v>72</v>
      </c>
      <c r="AG4" s="12"/>
      <c r="AH4" s="1" t="s">
        <v>3</v>
      </c>
      <c r="AI4" s="1" t="s">
        <v>210</v>
      </c>
      <c r="AJ4" s="1" t="s">
        <v>211</v>
      </c>
      <c r="AK4" s="1"/>
      <c r="AL4" s="14"/>
      <c r="AM4" s="12" t="s">
        <v>146</v>
      </c>
      <c r="AN4" s="12" t="s">
        <v>145</v>
      </c>
      <c r="AO4" s="1"/>
      <c r="AP4" s="12" t="s">
        <v>13</v>
      </c>
      <c r="AQ4" s="12" t="s">
        <v>14</v>
      </c>
      <c r="AR4" s="12"/>
      <c r="AS4" s="12" t="s">
        <v>48</v>
      </c>
      <c r="AT4" s="12" t="s">
        <v>49</v>
      </c>
      <c r="AU4" s="12" t="s">
        <v>50</v>
      </c>
      <c r="AV4" s="12" t="s">
        <v>15</v>
      </c>
      <c r="AW4" s="12" t="s">
        <v>16</v>
      </c>
      <c r="AX4" s="13"/>
    </row>
    <row r="5" spans="1:50" s="2" customFormat="1" ht="13.8" x14ac:dyDescent="0.25">
      <c r="A5" s="22" t="s">
        <v>102</v>
      </c>
      <c r="B5" s="22"/>
      <c r="C5" s="22"/>
      <c r="D5" s="22"/>
      <c r="E5" s="22"/>
      <c r="F5" s="22"/>
      <c r="G5" s="22"/>
      <c r="H5" s="22"/>
      <c r="I5" s="22"/>
      <c r="J5" s="22"/>
      <c r="K5"/>
      <c r="L5" s="12"/>
      <c r="M5" s="12"/>
      <c r="N5" s="12"/>
      <c r="O5" s="12"/>
      <c r="P5" s="12"/>
      <c r="Q5" s="12"/>
      <c r="R5" s="12"/>
      <c r="S5" s="12"/>
      <c r="T5" s="15" t="s">
        <v>97</v>
      </c>
      <c r="U5" s="15" t="s">
        <v>98</v>
      </c>
      <c r="V5" s="15" t="s">
        <v>99</v>
      </c>
      <c r="W5" s="15" t="s">
        <v>100</v>
      </c>
      <c r="X5" s="15" t="s">
        <v>101</v>
      </c>
      <c r="Z5" s="12"/>
      <c r="AA5" s="12"/>
      <c r="AB5" s="12"/>
      <c r="AC5" s="12"/>
      <c r="AD5" s="12"/>
      <c r="AE5" s="12"/>
      <c r="AF5" s="12"/>
      <c r="AG5" s="12"/>
      <c r="AH5" s="1"/>
      <c r="AI5" s="1"/>
      <c r="AJ5" s="1"/>
      <c r="AK5" s="1"/>
      <c r="AL5" s="14"/>
      <c r="AM5" s="12"/>
      <c r="AN5" s="12"/>
      <c r="AO5" s="1"/>
      <c r="AP5" s="12"/>
      <c r="AQ5" s="12"/>
      <c r="AR5" s="12"/>
      <c r="AS5" s="12"/>
      <c r="AT5" s="12"/>
      <c r="AU5" s="12"/>
      <c r="AV5" s="12"/>
      <c r="AW5" s="12"/>
      <c r="AX5" s="13"/>
    </row>
    <row r="6" spans="1:50" x14ac:dyDescent="0.2">
      <c r="A6" s="22"/>
      <c r="B6" s="22"/>
      <c r="C6" s="22"/>
      <c r="D6" s="22"/>
      <c r="E6" s="22"/>
      <c r="F6" s="22"/>
      <c r="G6" s="22"/>
      <c r="H6" s="22"/>
      <c r="I6" s="22"/>
      <c r="J6" s="22"/>
    </row>
    <row r="7" spans="1:50" ht="20.399999999999999" x14ac:dyDescent="0.2">
      <c r="A7" s="25" t="s">
        <v>35</v>
      </c>
      <c r="B7" s="4"/>
      <c r="C7" s="4"/>
      <c r="D7" s="4"/>
      <c r="E7" s="4"/>
      <c r="F7" s="4"/>
      <c r="G7" s="4"/>
      <c r="H7" s="22" t="s">
        <v>199</v>
      </c>
      <c r="I7" s="22"/>
      <c r="K7" t="s">
        <v>143</v>
      </c>
      <c r="L7" t="s">
        <v>164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S7" t="s">
        <v>166</v>
      </c>
      <c r="T7" t="s">
        <v>79</v>
      </c>
      <c r="U7" t="s">
        <v>167</v>
      </c>
      <c r="V7" t="s">
        <v>79</v>
      </c>
      <c r="W7" t="s">
        <v>79</v>
      </c>
      <c r="X7" t="s">
        <v>79</v>
      </c>
      <c r="Y7" t="s">
        <v>168</v>
      </c>
      <c r="AB7" t="s">
        <v>79</v>
      </c>
      <c r="AC7" t="s">
        <v>170</v>
      </c>
      <c r="AD7" t="s">
        <v>79</v>
      </c>
      <c r="AE7" t="s">
        <v>79</v>
      </c>
      <c r="AF7" t="s">
        <v>79</v>
      </c>
      <c r="AL7" t="s">
        <v>143</v>
      </c>
      <c r="AM7" t="s">
        <v>171</v>
      </c>
      <c r="AN7" t="s">
        <v>17</v>
      </c>
      <c r="AP7" t="s">
        <v>171</v>
      </c>
      <c r="AQ7" t="s">
        <v>17</v>
      </c>
    </row>
    <row r="8" spans="1:50" ht="20.399999999999999" x14ac:dyDescent="0.2">
      <c r="A8" s="25"/>
      <c r="B8" s="4"/>
      <c r="C8" s="4"/>
      <c r="D8" s="4"/>
      <c r="E8" s="4"/>
      <c r="F8" s="4"/>
      <c r="G8" s="4"/>
      <c r="H8" s="22"/>
      <c r="I8" s="22"/>
      <c r="K8" t="s">
        <v>144</v>
      </c>
      <c r="U8" t="s">
        <v>169</v>
      </c>
      <c r="AA8" t="s">
        <v>1</v>
      </c>
      <c r="AB8" t="s">
        <v>6</v>
      </c>
      <c r="AC8" t="s">
        <v>8</v>
      </c>
      <c r="AD8" t="s">
        <v>6</v>
      </c>
      <c r="AE8" t="s">
        <v>6</v>
      </c>
      <c r="AF8" t="s">
        <v>6</v>
      </c>
      <c r="AH8" t="s">
        <v>8</v>
      </c>
      <c r="AL8" t="s">
        <v>144</v>
      </c>
      <c r="AM8" t="s">
        <v>92</v>
      </c>
      <c r="AP8" t="s">
        <v>172</v>
      </c>
    </row>
    <row r="10" spans="1:50" ht="20.399999999999999" x14ac:dyDescent="0.2">
      <c r="A10" s="23" t="str">
        <f>A$7&amp;"1"</f>
        <v>A1</v>
      </c>
      <c r="B10" s="5"/>
      <c r="C10" s="5"/>
      <c r="D10" s="5"/>
      <c r="E10" s="5"/>
      <c r="F10" s="5"/>
      <c r="G10" s="5"/>
      <c r="H10" s="22" t="s">
        <v>9</v>
      </c>
      <c r="I10" s="22" t="s">
        <v>63</v>
      </c>
      <c r="K10" t="s">
        <v>143</v>
      </c>
      <c r="L10" t="s">
        <v>64</v>
      </c>
      <c r="M10" t="s">
        <v>79</v>
      </c>
      <c r="N10" t="s">
        <v>79</v>
      </c>
      <c r="O10" t="s">
        <v>79</v>
      </c>
      <c r="P10" t="s">
        <v>79</v>
      </c>
      <c r="Q10" t="s">
        <v>79</v>
      </c>
      <c r="S10" t="s">
        <v>173</v>
      </c>
      <c r="T10" t="s">
        <v>79</v>
      </c>
      <c r="U10" t="s">
        <v>174</v>
      </c>
      <c r="V10" t="s">
        <v>79</v>
      </c>
      <c r="W10" t="s">
        <v>79</v>
      </c>
      <c r="X10" t="s">
        <v>79</v>
      </c>
      <c r="Y10" t="s">
        <v>178</v>
      </c>
      <c r="AB10" t="s">
        <v>79</v>
      </c>
      <c r="AC10" t="s">
        <v>175</v>
      </c>
      <c r="AD10" t="s">
        <v>79</v>
      </c>
      <c r="AE10" t="s">
        <v>79</v>
      </c>
      <c r="AF10" t="s">
        <v>79</v>
      </c>
      <c r="AL10" t="s">
        <v>143</v>
      </c>
      <c r="AM10" t="s">
        <v>179</v>
      </c>
      <c r="AN10" t="s">
        <v>17</v>
      </c>
      <c r="AP10" t="s">
        <v>179</v>
      </c>
      <c r="AQ10" t="s">
        <v>17</v>
      </c>
    </row>
    <row r="11" spans="1:50" ht="20.399999999999999" x14ac:dyDescent="0.2">
      <c r="A11" s="23"/>
      <c r="B11" s="5"/>
      <c r="C11" s="5"/>
      <c r="D11" s="5"/>
      <c r="E11" s="5"/>
      <c r="F11" s="5"/>
      <c r="G11" s="5"/>
      <c r="H11" s="22"/>
      <c r="I11" s="22"/>
      <c r="K11" t="s">
        <v>144</v>
      </c>
      <c r="U11" t="s">
        <v>177</v>
      </c>
      <c r="AA11" t="s">
        <v>1</v>
      </c>
      <c r="AB11" t="s">
        <v>6</v>
      </c>
      <c r="AC11" t="s">
        <v>6</v>
      </c>
      <c r="AD11" t="s">
        <v>6</v>
      </c>
      <c r="AE11" t="s">
        <v>6</v>
      </c>
      <c r="AF11" t="s">
        <v>6</v>
      </c>
      <c r="AH11" t="s">
        <v>6</v>
      </c>
      <c r="AL11" t="s">
        <v>144</v>
      </c>
      <c r="AM11" t="s">
        <v>128</v>
      </c>
      <c r="AP11" t="s">
        <v>176</v>
      </c>
    </row>
    <row r="13" spans="1:50" ht="20.399999999999999" x14ac:dyDescent="0.2">
      <c r="A13" s="23" t="str">
        <f>A$7&amp;"2"</f>
        <v>A2</v>
      </c>
      <c r="B13" s="5"/>
      <c r="C13" s="5"/>
      <c r="D13" s="5"/>
      <c r="E13" s="5"/>
      <c r="F13" s="5"/>
      <c r="G13" s="5"/>
      <c r="H13" s="22" t="s">
        <v>9</v>
      </c>
      <c r="I13" s="22" t="s">
        <v>62</v>
      </c>
      <c r="J13" t="s">
        <v>87</v>
      </c>
      <c r="K13" t="s">
        <v>143</v>
      </c>
      <c r="L13" t="s">
        <v>57</v>
      </c>
      <c r="M13" t="s">
        <v>79</v>
      </c>
      <c r="N13" t="s">
        <v>79</v>
      </c>
      <c r="O13" t="s">
        <v>79</v>
      </c>
      <c r="P13" t="s">
        <v>79</v>
      </c>
      <c r="Q13" t="s">
        <v>79</v>
      </c>
      <c r="S13" t="s">
        <v>180</v>
      </c>
      <c r="T13" t="s">
        <v>79</v>
      </c>
      <c r="U13" t="s">
        <v>181</v>
      </c>
      <c r="V13" t="s">
        <v>79</v>
      </c>
      <c r="W13" t="s">
        <v>79</v>
      </c>
      <c r="X13" t="s">
        <v>79</v>
      </c>
      <c r="Y13" t="s">
        <v>178</v>
      </c>
      <c r="AB13" t="s">
        <v>79</v>
      </c>
      <c r="AC13" t="s">
        <v>175</v>
      </c>
      <c r="AD13" t="s">
        <v>79</v>
      </c>
      <c r="AE13" t="s">
        <v>79</v>
      </c>
      <c r="AF13" t="s">
        <v>79</v>
      </c>
      <c r="AL13" t="s">
        <v>143</v>
      </c>
      <c r="AM13" t="s">
        <v>179</v>
      </c>
      <c r="AN13" t="s">
        <v>17</v>
      </c>
      <c r="AP13" t="s">
        <v>179</v>
      </c>
      <c r="AQ13" t="s">
        <v>17</v>
      </c>
    </row>
    <row r="14" spans="1:50" ht="20.399999999999999" x14ac:dyDescent="0.2">
      <c r="A14" s="23"/>
      <c r="B14" s="5"/>
      <c r="C14" s="5"/>
      <c r="D14" s="5"/>
      <c r="E14" s="5"/>
      <c r="F14" s="5"/>
      <c r="G14" s="5"/>
      <c r="H14" s="22"/>
      <c r="I14" s="22"/>
      <c r="K14" t="s">
        <v>144</v>
      </c>
      <c r="U14" t="s">
        <v>177</v>
      </c>
      <c r="AA14" t="s">
        <v>1</v>
      </c>
      <c r="AB14" t="s">
        <v>6</v>
      </c>
      <c r="AC14" t="s">
        <v>6</v>
      </c>
      <c r="AD14" t="s">
        <v>6</v>
      </c>
      <c r="AE14" t="s">
        <v>6</v>
      </c>
      <c r="AF14" t="s">
        <v>6</v>
      </c>
      <c r="AH14" t="s">
        <v>6</v>
      </c>
      <c r="AL14" t="s">
        <v>144</v>
      </c>
      <c r="AM14" t="s">
        <v>128</v>
      </c>
      <c r="AP14" t="s">
        <v>176</v>
      </c>
    </row>
    <row r="16" spans="1:50" ht="20.399999999999999" x14ac:dyDescent="0.2">
      <c r="A16" s="23" t="str">
        <f>A$7&amp;"3"</f>
        <v>A3</v>
      </c>
      <c r="B16" s="5"/>
      <c r="C16" s="5"/>
      <c r="D16" s="5"/>
      <c r="E16" s="5"/>
      <c r="F16" s="5"/>
      <c r="G16" s="5"/>
      <c r="H16" s="22" t="s">
        <v>9</v>
      </c>
      <c r="I16" s="22" t="s">
        <v>85</v>
      </c>
      <c r="K16" t="s">
        <v>143</v>
      </c>
      <c r="L16" t="s">
        <v>182</v>
      </c>
      <c r="M16" t="s">
        <v>79</v>
      </c>
      <c r="N16" t="s">
        <v>79</v>
      </c>
      <c r="O16" t="s">
        <v>79</v>
      </c>
      <c r="P16" t="s">
        <v>79</v>
      </c>
      <c r="Q16" t="s">
        <v>79</v>
      </c>
      <c r="S16" t="s">
        <v>183</v>
      </c>
      <c r="T16" t="s">
        <v>79</v>
      </c>
      <c r="U16" t="s">
        <v>184</v>
      </c>
      <c r="V16" t="s">
        <v>79</v>
      </c>
      <c r="W16" t="s">
        <v>79</v>
      </c>
      <c r="X16" t="s">
        <v>79</v>
      </c>
      <c r="Y16" t="s">
        <v>186</v>
      </c>
      <c r="AB16" t="s">
        <v>79</v>
      </c>
      <c r="AC16" t="s">
        <v>175</v>
      </c>
      <c r="AD16" t="s">
        <v>79</v>
      </c>
      <c r="AE16" t="s">
        <v>79</v>
      </c>
      <c r="AF16" t="s">
        <v>79</v>
      </c>
      <c r="AL16" t="s">
        <v>143</v>
      </c>
      <c r="AM16" t="s">
        <v>187</v>
      </c>
      <c r="AN16" t="s">
        <v>17</v>
      </c>
      <c r="AP16" t="s">
        <v>187</v>
      </c>
      <c r="AQ16" t="s">
        <v>17</v>
      </c>
    </row>
    <row r="17" spans="1:42" ht="20.399999999999999" x14ac:dyDescent="0.2">
      <c r="A17" s="23"/>
      <c r="B17" s="5"/>
      <c r="C17" s="5"/>
      <c r="D17" s="5"/>
      <c r="E17" s="5"/>
      <c r="F17" s="5"/>
      <c r="G17" s="5"/>
      <c r="H17" s="22"/>
      <c r="I17" s="22"/>
      <c r="K17" t="s">
        <v>144</v>
      </c>
      <c r="U17" t="s">
        <v>185</v>
      </c>
      <c r="AA17" t="s">
        <v>1</v>
      </c>
      <c r="AB17" t="s">
        <v>6</v>
      </c>
      <c r="AC17" t="s">
        <v>6</v>
      </c>
      <c r="AD17" t="s">
        <v>6</v>
      </c>
      <c r="AE17" t="s">
        <v>6</v>
      </c>
      <c r="AF17" t="s">
        <v>6</v>
      </c>
      <c r="AH17" t="s">
        <v>6</v>
      </c>
      <c r="AL17" t="s">
        <v>144</v>
      </c>
      <c r="AM17" t="s">
        <v>96</v>
      </c>
      <c r="AP17" t="s">
        <v>176</v>
      </c>
    </row>
    <row r="20" spans="1:42" ht="20.399999999999999" x14ac:dyDescent="0.2">
      <c r="A20" s="25" t="s">
        <v>22</v>
      </c>
      <c r="B20" s="4"/>
      <c r="C20" s="4"/>
      <c r="D20" s="4"/>
      <c r="E20" s="4"/>
      <c r="F20" s="4"/>
      <c r="G20" s="4"/>
      <c r="H20" s="22" t="s">
        <v>11</v>
      </c>
      <c r="I20" s="22"/>
      <c r="J20" t="s">
        <v>87</v>
      </c>
      <c r="K20" t="s">
        <v>143</v>
      </c>
      <c r="AL20" t="s">
        <v>143</v>
      </c>
    </row>
    <row r="21" spans="1:42" ht="20.399999999999999" x14ac:dyDescent="0.2">
      <c r="A21" s="25"/>
      <c r="B21" s="4"/>
      <c r="C21" s="4"/>
      <c r="D21" s="4"/>
      <c r="E21" s="4"/>
      <c r="F21" s="4"/>
      <c r="G21" s="4"/>
      <c r="H21" s="22"/>
      <c r="I21" s="22"/>
      <c r="J21" t="s">
        <v>119</v>
      </c>
      <c r="K21" t="s">
        <v>144</v>
      </c>
      <c r="AA21" t="s">
        <v>1</v>
      </c>
      <c r="AL21" t="s">
        <v>144</v>
      </c>
    </row>
    <row r="22" spans="1:42" ht="20.399999999999999" x14ac:dyDescent="0.2">
      <c r="A22" s="4"/>
      <c r="B22" s="4"/>
      <c r="C22" s="4"/>
      <c r="D22" s="4"/>
      <c r="E22" s="4"/>
      <c r="F22" s="4"/>
      <c r="G22" s="4"/>
    </row>
    <row r="23" spans="1:42" ht="20.399999999999999" x14ac:dyDescent="0.2">
      <c r="A23" s="23" t="str">
        <f>A$20&amp;"1"</f>
        <v>B1</v>
      </c>
      <c r="B23" s="5"/>
      <c r="C23" s="5"/>
      <c r="D23" s="5"/>
      <c r="E23" s="5"/>
      <c r="F23" s="5"/>
      <c r="G23" s="5"/>
      <c r="H23" s="22" t="s">
        <v>9</v>
      </c>
      <c r="I23" s="22" t="s">
        <v>29</v>
      </c>
      <c r="J23" t="s">
        <v>88</v>
      </c>
      <c r="AL23" t="s">
        <v>143</v>
      </c>
    </row>
    <row r="24" spans="1:42" ht="13.8" x14ac:dyDescent="0.2">
      <c r="A24" s="23"/>
      <c r="B24" s="5"/>
      <c r="C24" s="5"/>
      <c r="D24" s="5"/>
      <c r="E24" s="5"/>
      <c r="F24" s="5"/>
      <c r="G24" s="5"/>
      <c r="H24" s="22"/>
      <c r="I24" s="22"/>
      <c r="J24" t="s">
        <v>119</v>
      </c>
      <c r="AA24" t="s">
        <v>1</v>
      </c>
      <c r="AL24" t="s">
        <v>144</v>
      </c>
    </row>
    <row r="25" spans="1:42" ht="13.8" x14ac:dyDescent="0.2">
      <c r="A25" s="5"/>
      <c r="B25" s="5"/>
      <c r="C25" s="5"/>
      <c r="D25" s="5"/>
      <c r="E25" s="5"/>
      <c r="F25" s="5"/>
      <c r="G25" s="5"/>
    </row>
    <row r="26" spans="1:42" ht="20.399999999999999" x14ac:dyDescent="0.2">
      <c r="A26" s="23" t="str">
        <f>A$20&amp;"2"</f>
        <v>B2</v>
      </c>
      <c r="B26" s="5"/>
      <c r="C26" s="5"/>
      <c r="D26" s="5"/>
      <c r="E26" s="5"/>
      <c r="F26" s="5"/>
      <c r="G26" s="5"/>
      <c r="H26" s="22" t="s">
        <v>9</v>
      </c>
      <c r="I26" s="22" t="s">
        <v>30</v>
      </c>
      <c r="J26" t="s">
        <v>89</v>
      </c>
      <c r="AL26" t="s">
        <v>143</v>
      </c>
    </row>
    <row r="27" spans="1:42" ht="13.8" x14ac:dyDescent="0.2">
      <c r="A27" s="23"/>
      <c r="B27" s="5"/>
      <c r="C27" s="5"/>
      <c r="D27" s="5"/>
      <c r="E27" s="5"/>
      <c r="F27" s="5"/>
      <c r="G27" s="5"/>
      <c r="H27" s="22"/>
      <c r="I27" s="22"/>
      <c r="J27" t="s">
        <v>119</v>
      </c>
      <c r="AA27" t="s">
        <v>1</v>
      </c>
      <c r="AL27" t="s">
        <v>144</v>
      </c>
    </row>
    <row r="30" spans="1:42" ht="20.399999999999999" x14ac:dyDescent="0.2">
      <c r="A30" s="25" t="s">
        <v>36</v>
      </c>
      <c r="B30" s="4"/>
      <c r="C30" s="4"/>
      <c r="D30" s="4"/>
      <c r="E30" s="4"/>
      <c r="F30" s="4"/>
      <c r="G30" s="4"/>
      <c r="H30" s="22" t="s">
        <v>120</v>
      </c>
      <c r="I30" s="22"/>
      <c r="J30" t="s">
        <v>87</v>
      </c>
      <c r="AL30" t="s">
        <v>143</v>
      </c>
    </row>
    <row r="31" spans="1:42" ht="20.399999999999999" x14ac:dyDescent="0.2">
      <c r="A31" s="25"/>
      <c r="B31" s="4"/>
      <c r="C31" s="4"/>
      <c r="D31" s="4"/>
      <c r="E31" s="4"/>
      <c r="F31" s="4"/>
      <c r="G31" s="4"/>
      <c r="H31" s="22"/>
      <c r="I31" s="22"/>
      <c r="AA31" t="s">
        <v>1</v>
      </c>
      <c r="AL31" t="s">
        <v>144</v>
      </c>
    </row>
    <row r="32" spans="1:42" ht="20.399999999999999" x14ac:dyDescent="0.2">
      <c r="A32" s="23" t="str">
        <f>A$30&amp;"1"</f>
        <v>C1</v>
      </c>
      <c r="B32" s="5"/>
      <c r="C32" s="5"/>
      <c r="D32" s="5"/>
      <c r="E32" s="5"/>
      <c r="F32" s="5"/>
      <c r="G32" s="5"/>
      <c r="H32" t="s">
        <v>9</v>
      </c>
      <c r="I32" s="22" t="s">
        <v>29</v>
      </c>
      <c r="J32" t="s">
        <v>88</v>
      </c>
      <c r="AL32" t="s">
        <v>143</v>
      </c>
    </row>
    <row r="33" spans="1:43" ht="13.8" x14ac:dyDescent="0.2">
      <c r="A33" s="23"/>
      <c r="B33" s="5"/>
      <c r="C33" s="5"/>
      <c r="D33" s="5"/>
      <c r="E33" s="5"/>
      <c r="F33" s="5"/>
      <c r="G33" s="5"/>
      <c r="I33" s="22"/>
      <c r="AA33" t="s">
        <v>1</v>
      </c>
      <c r="AL33" t="s">
        <v>144</v>
      </c>
    </row>
    <row r="34" spans="1:43" ht="20.399999999999999" x14ac:dyDescent="0.2">
      <c r="A34" s="23" t="str">
        <f>A$30&amp;"2"</f>
        <v>C2</v>
      </c>
      <c r="B34" s="5"/>
      <c r="C34" s="5"/>
      <c r="D34" s="5"/>
      <c r="E34" s="5"/>
      <c r="F34" s="5"/>
      <c r="G34" s="5"/>
      <c r="H34" t="s">
        <v>9</v>
      </c>
      <c r="I34" s="22" t="s">
        <v>30</v>
      </c>
      <c r="J34" t="s">
        <v>89</v>
      </c>
      <c r="AL34" t="s">
        <v>143</v>
      </c>
    </row>
    <row r="35" spans="1:43" ht="13.8" x14ac:dyDescent="0.2">
      <c r="A35" s="23"/>
      <c r="B35" s="5"/>
      <c r="C35" s="5"/>
      <c r="D35" s="5"/>
      <c r="E35" s="5"/>
      <c r="F35" s="5"/>
      <c r="G35" s="5"/>
      <c r="I35" s="22"/>
      <c r="AA35" t="s">
        <v>1</v>
      </c>
      <c r="AL35" t="s">
        <v>144</v>
      </c>
    </row>
    <row r="37" spans="1:43" ht="15.6" x14ac:dyDescent="0.2">
      <c r="H37" s="6" t="s">
        <v>12</v>
      </c>
    </row>
    <row r="39" spans="1:43" ht="30.6" x14ac:dyDescent="0.2">
      <c r="A39" s="25" t="s">
        <v>37</v>
      </c>
      <c r="B39" s="4"/>
      <c r="C39" s="4"/>
      <c r="D39" s="4"/>
      <c r="E39" s="4"/>
      <c r="F39" s="4"/>
      <c r="G39" s="4"/>
      <c r="H39" s="22" t="s">
        <v>19</v>
      </c>
      <c r="K39" t="s">
        <v>143</v>
      </c>
      <c r="L39" t="s">
        <v>79</v>
      </c>
      <c r="M39" t="s">
        <v>79</v>
      </c>
      <c r="N39" t="s">
        <v>79</v>
      </c>
      <c r="O39" t="s">
        <v>188</v>
      </c>
      <c r="P39" t="s">
        <v>79</v>
      </c>
      <c r="Q39" t="s">
        <v>79</v>
      </c>
      <c r="S39" t="s">
        <v>189</v>
      </c>
      <c r="T39" t="s">
        <v>79</v>
      </c>
      <c r="U39" t="s">
        <v>79</v>
      </c>
      <c r="V39" t="s">
        <v>190</v>
      </c>
      <c r="W39" t="s">
        <v>79</v>
      </c>
      <c r="X39" t="s">
        <v>79</v>
      </c>
      <c r="Y39" t="s">
        <v>192</v>
      </c>
      <c r="AB39" t="s">
        <v>79</v>
      </c>
      <c r="AC39" t="s">
        <v>79</v>
      </c>
      <c r="AD39" t="s">
        <v>170</v>
      </c>
      <c r="AF39" t="s">
        <v>79</v>
      </c>
      <c r="AL39" t="s">
        <v>143</v>
      </c>
      <c r="AM39" t="s">
        <v>193</v>
      </c>
      <c r="AN39" t="s">
        <v>17</v>
      </c>
      <c r="AP39" t="s">
        <v>193</v>
      </c>
      <c r="AQ39" t="s">
        <v>17</v>
      </c>
    </row>
    <row r="40" spans="1:43" ht="20.399999999999999" x14ac:dyDescent="0.2">
      <c r="A40" s="25"/>
      <c r="B40" s="4"/>
      <c r="C40" s="4"/>
      <c r="D40" s="4"/>
      <c r="E40" s="4"/>
      <c r="F40" s="4"/>
      <c r="G40" s="4"/>
      <c r="H40" s="22"/>
      <c r="K40" t="s">
        <v>144</v>
      </c>
      <c r="V40" t="s">
        <v>191</v>
      </c>
      <c r="AA40" t="s">
        <v>1</v>
      </c>
      <c r="AB40" t="s">
        <v>6</v>
      </c>
      <c r="AC40" t="s">
        <v>6</v>
      </c>
      <c r="AD40" t="s">
        <v>8</v>
      </c>
      <c r="AF40" t="s">
        <v>6</v>
      </c>
      <c r="AL40" t="s">
        <v>144</v>
      </c>
      <c r="AM40" t="s">
        <v>92</v>
      </c>
      <c r="AP40" t="s">
        <v>176</v>
      </c>
    </row>
    <row r="41" spans="1:43" ht="20.399999999999999" x14ac:dyDescent="0.2">
      <c r="A41" s="4"/>
      <c r="B41" s="4"/>
      <c r="C41" s="4"/>
      <c r="D41" s="4"/>
      <c r="E41" s="4"/>
      <c r="F41" s="4"/>
      <c r="G41" s="4"/>
    </row>
    <row r="42" spans="1:43" ht="13.8" x14ac:dyDescent="0.2">
      <c r="A42" s="23" t="str">
        <f>A$39&amp;"1"</f>
        <v>D1</v>
      </c>
      <c r="B42" s="5"/>
      <c r="C42" s="5"/>
      <c r="D42" s="5"/>
      <c r="E42" s="5"/>
      <c r="F42" s="5"/>
      <c r="G42" s="5"/>
      <c r="H42" t="s">
        <v>9</v>
      </c>
      <c r="I42" s="22" t="s">
        <v>20</v>
      </c>
      <c r="K42" t="s">
        <v>143</v>
      </c>
      <c r="AL42" t="s">
        <v>143</v>
      </c>
    </row>
    <row r="43" spans="1:43" ht="13.8" x14ac:dyDescent="0.2">
      <c r="A43" s="23"/>
      <c r="B43" s="5"/>
      <c r="C43" s="5"/>
      <c r="D43" s="5"/>
      <c r="E43" s="5"/>
      <c r="F43" s="5"/>
      <c r="G43" s="5"/>
      <c r="I43" s="22"/>
      <c r="K43" t="s">
        <v>144</v>
      </c>
      <c r="AA43" t="s">
        <v>1</v>
      </c>
      <c r="AL43" t="s">
        <v>144</v>
      </c>
    </row>
    <row r="44" spans="1:43" ht="13.8" x14ac:dyDescent="0.2">
      <c r="A44" s="5"/>
      <c r="B44" s="5"/>
      <c r="C44" s="5"/>
      <c r="D44" s="5"/>
      <c r="E44" s="5"/>
      <c r="F44" s="5"/>
      <c r="G44" s="5"/>
    </row>
    <row r="45" spans="1:43" ht="13.8" x14ac:dyDescent="0.2">
      <c r="A45" s="23" t="str">
        <f>A$39&amp;"2"</f>
        <v>D2</v>
      </c>
      <c r="B45" s="5"/>
      <c r="C45" s="5"/>
      <c r="D45" s="5"/>
      <c r="E45" s="5"/>
      <c r="F45" s="5"/>
      <c r="G45" s="5"/>
      <c r="H45" t="s">
        <v>9</v>
      </c>
      <c r="I45" s="22" t="s">
        <v>31</v>
      </c>
    </row>
    <row r="46" spans="1:43" ht="13.8" x14ac:dyDescent="0.2">
      <c r="A46" s="23"/>
      <c r="B46" s="5"/>
      <c r="C46" s="5"/>
      <c r="D46" s="5"/>
      <c r="E46" s="5"/>
      <c r="F46" s="5"/>
      <c r="G46" s="5"/>
      <c r="I46" s="22"/>
      <c r="AA46" t="s">
        <v>1</v>
      </c>
    </row>
    <row r="47" spans="1:43" ht="13.8" x14ac:dyDescent="0.2">
      <c r="A47" s="5"/>
      <c r="B47" s="5"/>
      <c r="C47" s="5"/>
      <c r="D47" s="5"/>
      <c r="E47" s="5"/>
      <c r="F47" s="5"/>
      <c r="G47" s="5"/>
    </row>
    <row r="48" spans="1:43" ht="13.8" x14ac:dyDescent="0.2">
      <c r="A48" s="23" t="str">
        <f>A$39&amp;"3"</f>
        <v>D3</v>
      </c>
      <c r="B48" s="5"/>
      <c r="C48" s="5"/>
      <c r="D48" s="5"/>
      <c r="E48" s="5"/>
      <c r="F48" s="5"/>
      <c r="G48" s="5"/>
      <c r="H48" t="s">
        <v>9</v>
      </c>
      <c r="I48" s="22" t="s">
        <v>32</v>
      </c>
      <c r="K48" t="s">
        <v>143</v>
      </c>
      <c r="AL48" t="s">
        <v>143</v>
      </c>
    </row>
    <row r="49" spans="1:38" ht="13.8" x14ac:dyDescent="0.2">
      <c r="A49" s="23"/>
      <c r="B49" s="5"/>
      <c r="C49" s="5"/>
      <c r="D49" s="5"/>
      <c r="E49" s="5"/>
      <c r="F49" s="5"/>
      <c r="G49" s="5"/>
      <c r="I49" s="22"/>
      <c r="K49" t="s">
        <v>144</v>
      </c>
      <c r="AA49" t="s">
        <v>1</v>
      </c>
      <c r="AL49" t="s">
        <v>144</v>
      </c>
    </row>
    <row r="52" spans="1:38" ht="20.399999999999999" x14ac:dyDescent="0.2">
      <c r="A52" s="25" t="s">
        <v>38</v>
      </c>
      <c r="B52" s="4"/>
      <c r="C52" s="4"/>
      <c r="D52" s="4"/>
      <c r="E52" s="4"/>
      <c r="F52" s="4"/>
      <c r="G52" s="4"/>
      <c r="H52" s="22" t="s">
        <v>10</v>
      </c>
      <c r="I52" s="22"/>
    </row>
    <row r="53" spans="1:38" ht="20.399999999999999" x14ac:dyDescent="0.2">
      <c r="A53" s="25"/>
      <c r="B53" s="4"/>
      <c r="C53" s="4"/>
      <c r="D53" s="4"/>
      <c r="E53" s="4"/>
      <c r="F53" s="4"/>
      <c r="G53" s="4"/>
      <c r="H53" s="22"/>
      <c r="I53" s="22"/>
      <c r="AA53" t="s">
        <v>1</v>
      </c>
    </row>
    <row r="54" spans="1:38" ht="13.8" x14ac:dyDescent="0.2">
      <c r="A54" s="23" t="str">
        <f>A$52&amp;"1"</f>
        <v>E1</v>
      </c>
      <c r="B54" s="5"/>
      <c r="C54" s="5"/>
      <c r="D54" s="5"/>
      <c r="E54" s="5"/>
      <c r="F54" s="5"/>
      <c r="G54" s="5"/>
      <c r="H54" s="22" t="s">
        <v>21</v>
      </c>
    </row>
    <row r="55" spans="1:38" ht="13.8" x14ac:dyDescent="0.2">
      <c r="A55" s="23"/>
      <c r="B55" s="5"/>
      <c r="C55" s="5"/>
      <c r="D55" s="5"/>
      <c r="E55" s="5"/>
      <c r="F55" s="5"/>
      <c r="G55" s="5"/>
      <c r="H55" s="22"/>
      <c r="AA55" t="s">
        <v>1</v>
      </c>
    </row>
    <row r="56" spans="1:38" ht="13.8" x14ac:dyDescent="0.2">
      <c r="A56" s="23" t="str">
        <f>A$52&amp;"2"</f>
        <v>E2</v>
      </c>
      <c r="B56" s="5"/>
      <c r="C56" s="5"/>
      <c r="D56" s="5"/>
      <c r="E56" s="5"/>
      <c r="F56" s="5"/>
      <c r="G56" s="5"/>
      <c r="H56" t="s">
        <v>9</v>
      </c>
      <c r="I56" s="22" t="s">
        <v>20</v>
      </c>
    </row>
    <row r="57" spans="1:38" ht="13.8" x14ac:dyDescent="0.2">
      <c r="A57" s="23"/>
      <c r="B57" s="5"/>
      <c r="C57" s="5"/>
      <c r="D57" s="5"/>
      <c r="E57" s="5"/>
      <c r="F57" s="5"/>
      <c r="G57" s="5"/>
      <c r="I57" s="22"/>
      <c r="AA57" t="s">
        <v>1</v>
      </c>
    </row>
    <row r="58" spans="1:38" ht="13.8" x14ac:dyDescent="0.2">
      <c r="A58" s="23" t="str">
        <f>A$52&amp;"3"</f>
        <v>E3</v>
      </c>
      <c r="B58" s="5"/>
      <c r="C58" s="5"/>
      <c r="D58" s="5"/>
      <c r="E58" s="5"/>
      <c r="F58" s="5"/>
      <c r="G58" s="5"/>
      <c r="H58" t="s">
        <v>9</v>
      </c>
      <c r="I58" s="22" t="s">
        <v>23</v>
      </c>
    </row>
    <row r="59" spans="1:38" ht="13.8" x14ac:dyDescent="0.2">
      <c r="A59" s="23"/>
      <c r="B59" s="5"/>
      <c r="C59" s="5"/>
      <c r="D59" s="5"/>
      <c r="E59" s="5"/>
      <c r="F59" s="5"/>
      <c r="G59" s="5"/>
      <c r="I59" s="22"/>
      <c r="AA59" t="s">
        <v>1</v>
      </c>
    </row>
    <row r="60" spans="1:38" ht="13.8" x14ac:dyDescent="0.2">
      <c r="A60" s="23" t="str">
        <f>A$52&amp;"4"</f>
        <v>E4</v>
      </c>
      <c r="B60" s="5"/>
      <c r="C60" s="5"/>
      <c r="D60" s="5"/>
      <c r="E60" s="5"/>
      <c r="F60" s="5"/>
      <c r="G60" s="5"/>
      <c r="H60" t="s">
        <v>9</v>
      </c>
      <c r="I60" s="22" t="s">
        <v>26</v>
      </c>
    </row>
    <row r="61" spans="1:38" ht="13.8" x14ac:dyDescent="0.2">
      <c r="A61" s="23"/>
      <c r="B61" s="5"/>
      <c r="C61" s="5"/>
      <c r="D61" s="5"/>
      <c r="E61" s="5"/>
      <c r="F61" s="5"/>
      <c r="G61" s="5"/>
      <c r="I61" s="22"/>
      <c r="AA61" t="s">
        <v>1</v>
      </c>
    </row>
    <row r="62" spans="1:38" x14ac:dyDescent="0.2">
      <c r="I62" t="s">
        <v>9</v>
      </c>
      <c r="J62" s="22" t="s">
        <v>32</v>
      </c>
      <c r="L62" s="22"/>
    </row>
    <row r="63" spans="1:38" x14ac:dyDescent="0.2">
      <c r="J63" s="22"/>
      <c r="L63" s="22"/>
    </row>
    <row r="67" spans="1:43" x14ac:dyDescent="0.2">
      <c r="H67" s="22" t="s">
        <v>9</v>
      </c>
      <c r="I67" s="22" t="s">
        <v>27</v>
      </c>
    </row>
    <row r="68" spans="1:43" x14ac:dyDescent="0.2">
      <c r="H68" s="22"/>
      <c r="I68" s="22"/>
      <c r="AA68" t="s">
        <v>1</v>
      </c>
    </row>
    <row r="70" spans="1:43" ht="40.799999999999997" x14ac:dyDescent="0.2">
      <c r="A70" s="25" t="s">
        <v>86</v>
      </c>
      <c r="B70" s="22" t="s">
        <v>199</v>
      </c>
      <c r="C70" s="22"/>
      <c r="D70" s="22"/>
      <c r="E70" s="22"/>
      <c r="F70" s="22"/>
      <c r="G70" s="22"/>
      <c r="H70" s="22"/>
      <c r="I70" s="22"/>
      <c r="K70" t="s">
        <v>143</v>
      </c>
      <c r="L70" t="s">
        <v>225</v>
      </c>
      <c r="M70" t="s">
        <v>79</v>
      </c>
      <c r="N70" t="s">
        <v>79</v>
      </c>
      <c r="O70" t="s">
        <v>79</v>
      </c>
      <c r="P70" t="s">
        <v>79</v>
      </c>
      <c r="Q70" t="s">
        <v>79</v>
      </c>
      <c r="S70" t="s">
        <v>205</v>
      </c>
      <c r="T70" t="s">
        <v>79</v>
      </c>
      <c r="U70" t="s">
        <v>234</v>
      </c>
      <c r="V70" t="s">
        <v>79</v>
      </c>
      <c r="W70" t="s">
        <v>79</v>
      </c>
      <c r="X70" t="s">
        <v>79</v>
      </c>
      <c r="Y70" t="s">
        <v>168</v>
      </c>
      <c r="AB70" t="s">
        <v>79</v>
      </c>
      <c r="AC70" t="s">
        <v>170</v>
      </c>
      <c r="AD70" t="s">
        <v>79</v>
      </c>
      <c r="AE70" t="s">
        <v>79</v>
      </c>
      <c r="AF70" t="s">
        <v>79</v>
      </c>
      <c r="AL70" t="s">
        <v>143</v>
      </c>
      <c r="AM70" t="s">
        <v>212</v>
      </c>
      <c r="AN70" t="s">
        <v>17</v>
      </c>
      <c r="AP70" t="s">
        <v>219</v>
      </c>
      <c r="AQ70" t="s">
        <v>17</v>
      </c>
    </row>
    <row r="71" spans="1:43" ht="40.799999999999997" x14ac:dyDescent="0.2">
      <c r="A71" s="25"/>
      <c r="B71" s="22"/>
      <c r="C71" s="22"/>
      <c r="D71" s="22"/>
      <c r="E71" s="22"/>
      <c r="F71" s="22"/>
      <c r="G71" s="22"/>
      <c r="H71" s="22"/>
      <c r="I71" s="22"/>
      <c r="K71" t="s">
        <v>144</v>
      </c>
      <c r="L71" t="s">
        <v>226</v>
      </c>
      <c r="U71" t="s">
        <v>233</v>
      </c>
      <c r="AA71" t="s">
        <v>1</v>
      </c>
      <c r="AB71" t="s">
        <v>6</v>
      </c>
      <c r="AC71" t="s">
        <v>8</v>
      </c>
      <c r="AD71" t="s">
        <v>6</v>
      </c>
      <c r="AE71" t="s">
        <v>6</v>
      </c>
      <c r="AF71" t="s">
        <v>6</v>
      </c>
      <c r="AH71" t="s">
        <v>8</v>
      </c>
      <c r="AL71" t="s">
        <v>144</v>
      </c>
      <c r="AM71" t="s">
        <v>218</v>
      </c>
      <c r="AP71" t="s">
        <v>221</v>
      </c>
    </row>
    <row r="72" spans="1:43" ht="51" x14ac:dyDescent="0.2">
      <c r="A72" s="23" t="s">
        <v>201</v>
      </c>
      <c r="B72" s="19" t="s">
        <v>207</v>
      </c>
      <c r="C72" s="22" t="s">
        <v>194</v>
      </c>
      <c r="D72" s="22"/>
      <c r="E72" s="22"/>
      <c r="F72" s="22"/>
      <c r="G72" s="22"/>
      <c r="H72" s="22"/>
      <c r="I72" s="22"/>
      <c r="K72" t="s">
        <v>143</v>
      </c>
      <c r="L72" t="s">
        <v>79</v>
      </c>
      <c r="M72" t="s">
        <v>79</v>
      </c>
      <c r="N72" t="s">
        <v>79</v>
      </c>
      <c r="O72" t="s">
        <v>236</v>
      </c>
      <c r="P72" t="s">
        <v>79</v>
      </c>
      <c r="Q72" t="s">
        <v>79</v>
      </c>
      <c r="S72" t="s">
        <v>206</v>
      </c>
      <c r="T72" t="s">
        <v>79</v>
      </c>
      <c r="U72" t="s">
        <v>230</v>
      </c>
      <c r="V72" t="s">
        <v>79</v>
      </c>
      <c r="W72" t="s">
        <v>79</v>
      </c>
      <c r="X72" t="s">
        <v>79</v>
      </c>
      <c r="Y72" t="s">
        <v>196</v>
      </c>
      <c r="AB72" t="s">
        <v>79</v>
      </c>
      <c r="AC72" t="s">
        <v>170</v>
      </c>
      <c r="AD72" t="s">
        <v>240</v>
      </c>
      <c r="AE72" t="s">
        <v>79</v>
      </c>
      <c r="AF72" t="s">
        <v>79</v>
      </c>
      <c r="AL72" t="s">
        <v>143</v>
      </c>
      <c r="AM72" t="s">
        <v>213</v>
      </c>
      <c r="AN72" t="s">
        <v>17</v>
      </c>
      <c r="AP72" t="s">
        <v>220</v>
      </c>
      <c r="AQ72" t="s">
        <v>17</v>
      </c>
    </row>
    <row r="73" spans="1:43" ht="40.799999999999997" x14ac:dyDescent="0.2">
      <c r="A73" s="23"/>
      <c r="B73" s="18"/>
      <c r="C73" s="22"/>
      <c r="D73" s="22"/>
      <c r="E73" s="22"/>
      <c r="F73" s="22"/>
      <c r="G73" s="22"/>
      <c r="H73" s="22"/>
      <c r="I73" s="22"/>
      <c r="K73" t="s">
        <v>144</v>
      </c>
      <c r="O73" t="s">
        <v>224</v>
      </c>
      <c r="V73" t="s">
        <v>241</v>
      </c>
      <c r="AA73" t="s">
        <v>1</v>
      </c>
      <c r="AB73" t="s">
        <v>6</v>
      </c>
      <c r="AC73" t="s">
        <v>8</v>
      </c>
      <c r="AD73" t="s">
        <v>8</v>
      </c>
      <c r="AE73" t="s">
        <v>6</v>
      </c>
      <c r="AF73" t="s">
        <v>6</v>
      </c>
      <c r="AH73" t="s">
        <v>103</v>
      </c>
      <c r="AL73" t="s">
        <v>144</v>
      </c>
      <c r="AM73" t="s">
        <v>217</v>
      </c>
      <c r="AP73" t="s">
        <v>222</v>
      </c>
    </row>
    <row r="74" spans="1:43" ht="51" x14ac:dyDescent="0.2">
      <c r="A74" s="23" t="s">
        <v>202</v>
      </c>
      <c r="B74" s="5"/>
      <c r="C74" s="24" t="s">
        <v>207</v>
      </c>
      <c r="D74" s="22" t="s">
        <v>199</v>
      </c>
      <c r="E74" s="22"/>
      <c r="F74" s="22"/>
      <c r="G74" s="22"/>
      <c r="H74" s="22"/>
      <c r="I74" s="22"/>
      <c r="J74" s="22"/>
      <c r="K74" t="s">
        <v>143</v>
      </c>
      <c r="L74" t="s">
        <v>227</v>
      </c>
      <c r="M74" t="s">
        <v>79</v>
      </c>
      <c r="N74" t="s">
        <v>79</v>
      </c>
      <c r="O74" t="s">
        <v>79</v>
      </c>
      <c r="P74" t="s">
        <v>79</v>
      </c>
      <c r="Q74" t="s">
        <v>79</v>
      </c>
      <c r="S74" t="s">
        <v>205</v>
      </c>
      <c r="T74" t="s">
        <v>79</v>
      </c>
      <c r="U74" t="s">
        <v>230</v>
      </c>
      <c r="V74" t="s">
        <v>232</v>
      </c>
      <c r="W74" t="s">
        <v>79</v>
      </c>
      <c r="X74" t="s">
        <v>79</v>
      </c>
      <c r="Y74" t="s">
        <v>168</v>
      </c>
      <c r="AB74" t="s">
        <v>79</v>
      </c>
      <c r="AC74" t="s">
        <v>200</v>
      </c>
      <c r="AD74" t="s">
        <v>240</v>
      </c>
      <c r="AE74" t="s">
        <v>79</v>
      </c>
      <c r="AF74" t="s">
        <v>79</v>
      </c>
      <c r="AI74" t="s">
        <v>103</v>
      </c>
      <c r="AJ74" t="s">
        <v>8</v>
      </c>
      <c r="AL74" t="s">
        <v>143</v>
      </c>
      <c r="AM74" t="s">
        <v>214</v>
      </c>
      <c r="AN74" t="s">
        <v>17</v>
      </c>
      <c r="AP74" t="s">
        <v>214</v>
      </c>
      <c r="AQ74" t="s">
        <v>17</v>
      </c>
    </row>
    <row r="75" spans="1:43" ht="30.6" x14ac:dyDescent="0.2">
      <c r="A75" s="23"/>
      <c r="B75" s="5"/>
      <c r="C75" s="24"/>
      <c r="D75" s="22"/>
      <c r="E75" s="22"/>
      <c r="F75" s="22"/>
      <c r="G75" s="22"/>
      <c r="H75" s="22"/>
      <c r="I75" s="22"/>
      <c r="J75" s="22"/>
      <c r="K75" t="s">
        <v>144</v>
      </c>
      <c r="L75" t="s">
        <v>226</v>
      </c>
      <c r="U75" t="s">
        <v>233</v>
      </c>
      <c r="AA75" t="s">
        <v>1</v>
      </c>
      <c r="AB75" t="s">
        <v>6</v>
      </c>
      <c r="AC75" t="s">
        <v>103</v>
      </c>
      <c r="AD75" t="s">
        <v>8</v>
      </c>
      <c r="AE75" t="s">
        <v>6</v>
      </c>
      <c r="AF75" t="s">
        <v>6</v>
      </c>
      <c r="AH75" t="s">
        <v>104</v>
      </c>
      <c r="AL75" t="s">
        <v>144</v>
      </c>
      <c r="AM75" t="s">
        <v>216</v>
      </c>
      <c r="AP75" t="s">
        <v>222</v>
      </c>
    </row>
    <row r="76" spans="1:43" ht="51" x14ac:dyDescent="0.2">
      <c r="A76" s="23" t="s">
        <v>203</v>
      </c>
      <c r="B76" s="5"/>
      <c r="D76" s="24" t="s">
        <v>207</v>
      </c>
      <c r="E76" s="22" t="s">
        <v>204</v>
      </c>
      <c r="F76" s="22"/>
      <c r="G76" s="22"/>
      <c r="H76" s="22"/>
      <c r="I76" s="22"/>
      <c r="J76" s="22"/>
      <c r="K76" t="s">
        <v>143</v>
      </c>
      <c r="L76" t="s">
        <v>79</v>
      </c>
      <c r="M76" t="s">
        <v>79</v>
      </c>
      <c r="N76" t="s">
        <v>79</v>
      </c>
      <c r="O76" t="s">
        <v>237</v>
      </c>
      <c r="P76" t="s">
        <v>79</v>
      </c>
      <c r="Q76" t="s">
        <v>79</v>
      </c>
      <c r="S76" t="s">
        <v>208</v>
      </c>
      <c r="T76" t="s">
        <v>79</v>
      </c>
      <c r="U76" t="s">
        <v>231</v>
      </c>
      <c r="V76" t="s">
        <v>232</v>
      </c>
      <c r="W76" t="s">
        <v>79</v>
      </c>
      <c r="X76" t="s">
        <v>79</v>
      </c>
      <c r="Y76" t="s">
        <v>209</v>
      </c>
      <c r="AB76" t="s">
        <v>79</v>
      </c>
      <c r="AC76" t="s">
        <v>200</v>
      </c>
      <c r="AD76" t="s">
        <v>243</v>
      </c>
      <c r="AE76" t="s">
        <v>79</v>
      </c>
      <c r="AF76" t="s">
        <v>79</v>
      </c>
      <c r="AI76" t="s">
        <v>103</v>
      </c>
      <c r="AJ76" t="s">
        <v>6</v>
      </c>
      <c r="AL76" t="s">
        <v>143</v>
      </c>
      <c r="AM76" t="s">
        <v>215</v>
      </c>
      <c r="AN76" t="s">
        <v>17</v>
      </c>
      <c r="AP76" t="s">
        <v>250</v>
      </c>
      <c r="AQ76" t="s">
        <v>17</v>
      </c>
    </row>
    <row r="77" spans="1:43" ht="71.400000000000006" x14ac:dyDescent="0.2">
      <c r="A77" s="23"/>
      <c r="B77" s="5"/>
      <c r="D77" s="24"/>
      <c r="E77" s="22"/>
      <c r="F77" s="22"/>
      <c r="G77" s="22"/>
      <c r="H77" s="22"/>
      <c r="I77" s="22"/>
      <c r="J77" s="22"/>
      <c r="K77" t="s">
        <v>144</v>
      </c>
      <c r="O77" t="s">
        <v>223</v>
      </c>
      <c r="V77" t="s">
        <v>242</v>
      </c>
      <c r="AA77" t="s">
        <v>1</v>
      </c>
      <c r="AB77" t="s">
        <v>6</v>
      </c>
      <c r="AC77" t="s">
        <v>103</v>
      </c>
      <c r="AD77" t="s">
        <v>6</v>
      </c>
      <c r="AE77" t="s">
        <v>6</v>
      </c>
      <c r="AF77" t="s">
        <v>6</v>
      </c>
      <c r="AH77" t="s">
        <v>103</v>
      </c>
      <c r="AL77" t="s">
        <v>144</v>
      </c>
      <c r="AM77" t="s">
        <v>251</v>
      </c>
      <c r="AP77" t="s">
        <v>221</v>
      </c>
    </row>
    <row r="78" spans="1:43" ht="51" x14ac:dyDescent="0.2">
      <c r="A78" s="23" t="s">
        <v>203</v>
      </c>
      <c r="B78" s="5"/>
      <c r="E78" s="24" t="s">
        <v>207</v>
      </c>
      <c r="F78" s="22" t="s">
        <v>248</v>
      </c>
      <c r="G78" s="22"/>
      <c r="H78" s="22"/>
      <c r="I78" s="22"/>
      <c r="J78" s="22"/>
      <c r="K78" t="s">
        <v>143</v>
      </c>
      <c r="L78" t="s">
        <v>225</v>
      </c>
      <c r="M78" t="s">
        <v>79</v>
      </c>
      <c r="N78" t="s">
        <v>79</v>
      </c>
      <c r="O78" t="s">
        <v>79</v>
      </c>
      <c r="P78" t="s">
        <v>79</v>
      </c>
      <c r="Q78" t="s">
        <v>79</v>
      </c>
      <c r="S78" t="s">
        <v>205</v>
      </c>
      <c r="T78" t="s">
        <v>79</v>
      </c>
      <c r="U78" t="s">
        <v>231</v>
      </c>
      <c r="V78" t="s">
        <v>232</v>
      </c>
      <c r="W78" t="s">
        <v>79</v>
      </c>
      <c r="X78" t="s">
        <v>79</v>
      </c>
      <c r="Y78" t="s">
        <v>168</v>
      </c>
      <c r="AB78" t="s">
        <v>79</v>
      </c>
      <c r="AC78" t="s">
        <v>249</v>
      </c>
      <c r="AD78" t="s">
        <v>240</v>
      </c>
      <c r="AE78" t="s">
        <v>79</v>
      </c>
      <c r="AF78" t="s">
        <v>79</v>
      </c>
      <c r="AI78" t="s">
        <v>104</v>
      </c>
      <c r="AJ78" t="s">
        <v>8</v>
      </c>
      <c r="AL78" t="s">
        <v>143</v>
      </c>
      <c r="AM78" t="s">
        <v>252</v>
      </c>
      <c r="AN78" t="s">
        <v>17</v>
      </c>
      <c r="AP78" t="s">
        <v>254</v>
      </c>
    </row>
    <row r="79" spans="1:43" ht="30.6" x14ac:dyDescent="0.2">
      <c r="A79" s="23"/>
      <c r="B79" s="5"/>
      <c r="E79" s="24"/>
      <c r="F79" s="22"/>
      <c r="G79" s="22"/>
      <c r="H79" s="22"/>
      <c r="I79" s="22"/>
      <c r="J79" s="22"/>
      <c r="K79" t="s">
        <v>144</v>
      </c>
      <c r="L79" t="s">
        <v>226</v>
      </c>
      <c r="U79" t="s">
        <v>233</v>
      </c>
      <c r="AA79" t="s">
        <v>1</v>
      </c>
      <c r="AB79" t="s">
        <v>6</v>
      </c>
      <c r="AC79" t="s">
        <v>104</v>
      </c>
      <c r="AD79" t="s">
        <v>8</v>
      </c>
      <c r="AE79" t="s">
        <v>6</v>
      </c>
      <c r="AF79" t="s">
        <v>6</v>
      </c>
      <c r="AH79" t="s">
        <v>105</v>
      </c>
      <c r="AL79" t="s">
        <v>144</v>
      </c>
      <c r="AM79" t="s">
        <v>253</v>
      </c>
    </row>
    <row r="80" spans="1:43" ht="13.8" x14ac:dyDescent="0.2">
      <c r="A80" s="5"/>
      <c r="B80" s="5"/>
      <c r="D80" s="18"/>
    </row>
    <row r="81" spans="1:39" ht="13.8" x14ac:dyDescent="0.2">
      <c r="A81" s="5"/>
      <c r="B81" s="5"/>
      <c r="D81" s="18"/>
    </row>
    <row r="82" spans="1:39" ht="51" customHeight="1" x14ac:dyDescent="0.2">
      <c r="A82" s="23" t="s">
        <v>247</v>
      </c>
      <c r="B82" s="5"/>
      <c r="E82" s="24" t="s">
        <v>207</v>
      </c>
      <c r="F82" s="22" t="s">
        <v>235</v>
      </c>
      <c r="G82" s="22"/>
      <c r="H82" s="22"/>
      <c r="I82" s="22"/>
      <c r="J82" s="22"/>
      <c r="K82" t="s">
        <v>143</v>
      </c>
      <c r="L82" t="s">
        <v>79</v>
      </c>
      <c r="M82" t="s">
        <v>79</v>
      </c>
      <c r="N82" t="s">
        <v>79</v>
      </c>
      <c r="O82" t="s">
        <v>238</v>
      </c>
      <c r="P82" t="s">
        <v>79</v>
      </c>
      <c r="Q82" t="s">
        <v>79</v>
      </c>
      <c r="S82" t="s">
        <v>228</v>
      </c>
      <c r="T82" t="s">
        <v>79</v>
      </c>
      <c r="U82" t="s">
        <v>231</v>
      </c>
      <c r="V82" t="s">
        <v>232</v>
      </c>
      <c r="W82" t="s">
        <v>79</v>
      </c>
      <c r="X82" t="s">
        <v>79</v>
      </c>
      <c r="Y82" t="s">
        <v>229</v>
      </c>
      <c r="AB82" t="s">
        <v>79</v>
      </c>
      <c r="AC82" t="s">
        <v>200</v>
      </c>
      <c r="AD82" t="s">
        <v>240</v>
      </c>
      <c r="AE82" t="s">
        <v>79</v>
      </c>
      <c r="AF82" t="s">
        <v>79</v>
      </c>
      <c r="AI82" t="s">
        <v>103</v>
      </c>
      <c r="AJ82" t="s">
        <v>8</v>
      </c>
      <c r="AL82" t="s">
        <v>143</v>
      </c>
      <c r="AM82" t="s">
        <v>245</v>
      </c>
    </row>
    <row r="83" spans="1:39" ht="40.799999999999997" x14ac:dyDescent="0.2">
      <c r="A83" s="23"/>
      <c r="B83" s="5"/>
      <c r="E83" s="24"/>
      <c r="F83" s="22"/>
      <c r="G83" s="22"/>
      <c r="H83" s="22"/>
      <c r="I83" s="22"/>
      <c r="J83" s="22"/>
      <c r="K83" t="s">
        <v>144</v>
      </c>
      <c r="O83" t="s">
        <v>239</v>
      </c>
      <c r="V83" t="s">
        <v>244</v>
      </c>
      <c r="AA83" t="s">
        <v>1</v>
      </c>
      <c r="AB83" t="s">
        <v>6</v>
      </c>
      <c r="AC83" t="s">
        <v>103</v>
      </c>
      <c r="AD83" t="s">
        <v>8</v>
      </c>
      <c r="AE83" t="s">
        <v>6</v>
      </c>
      <c r="AF83" t="s">
        <v>6</v>
      </c>
      <c r="AH83" t="s">
        <v>103</v>
      </c>
      <c r="AL83" t="s">
        <v>144</v>
      </c>
      <c r="AM83" t="s">
        <v>246</v>
      </c>
    </row>
    <row r="93" spans="1:39" ht="20.399999999999999" x14ac:dyDescent="0.2">
      <c r="A93" s="25" t="s">
        <v>197</v>
      </c>
      <c r="B93" s="4"/>
      <c r="C93" s="4"/>
      <c r="D93" s="4"/>
      <c r="E93" s="4"/>
      <c r="F93" s="4"/>
      <c r="G93" s="4"/>
      <c r="H93" s="22" t="s">
        <v>9</v>
      </c>
      <c r="I93" s="22" t="s">
        <v>194</v>
      </c>
      <c r="K93" t="s">
        <v>143</v>
      </c>
      <c r="L93" t="s">
        <v>79</v>
      </c>
      <c r="M93" t="s">
        <v>79</v>
      </c>
      <c r="N93" t="s">
        <v>79</v>
      </c>
      <c r="O93" t="s">
        <v>79</v>
      </c>
      <c r="P93" t="s">
        <v>79</v>
      </c>
      <c r="Q93" t="s">
        <v>79</v>
      </c>
      <c r="T93" t="s">
        <v>79</v>
      </c>
      <c r="U93" t="s">
        <v>79</v>
      </c>
      <c r="V93" t="s">
        <v>79</v>
      </c>
      <c r="W93" t="s">
        <v>79</v>
      </c>
      <c r="X93" t="s">
        <v>79</v>
      </c>
      <c r="Y93" t="s">
        <v>198</v>
      </c>
      <c r="AB93" t="s">
        <v>79</v>
      </c>
      <c r="AC93" t="s">
        <v>79</v>
      </c>
      <c r="AD93" t="s">
        <v>79</v>
      </c>
      <c r="AE93" t="s">
        <v>79</v>
      </c>
      <c r="AF93" t="s">
        <v>79</v>
      </c>
      <c r="AL93" t="s">
        <v>143</v>
      </c>
    </row>
    <row r="94" spans="1:39" ht="20.399999999999999" x14ac:dyDescent="0.2">
      <c r="A94" s="25"/>
      <c r="B94" s="4"/>
      <c r="C94" s="4"/>
      <c r="D94" s="4"/>
      <c r="E94" s="4"/>
      <c r="F94" s="4"/>
      <c r="G94" s="4"/>
      <c r="H94" s="22"/>
      <c r="I94" s="22"/>
      <c r="K94" t="s">
        <v>144</v>
      </c>
      <c r="AA94" t="s">
        <v>1</v>
      </c>
      <c r="AB94" t="s">
        <v>6</v>
      </c>
      <c r="AC94" t="s">
        <v>6</v>
      </c>
      <c r="AD94" t="s">
        <v>6</v>
      </c>
      <c r="AE94" t="s">
        <v>6</v>
      </c>
      <c r="AF94" t="s">
        <v>6</v>
      </c>
      <c r="AL94" t="s">
        <v>144</v>
      </c>
    </row>
    <row r="96" spans="1:39" ht="30.6" x14ac:dyDescent="0.2">
      <c r="A96" s="23" t="s">
        <v>203</v>
      </c>
      <c r="B96" s="5"/>
      <c r="D96" s="24" t="s">
        <v>207</v>
      </c>
      <c r="E96" s="22" t="s">
        <v>204</v>
      </c>
      <c r="F96" s="22"/>
      <c r="G96" s="22"/>
      <c r="H96" s="22"/>
      <c r="I96" s="22"/>
      <c r="J96" s="22"/>
      <c r="K96" t="s">
        <v>143</v>
      </c>
      <c r="L96" t="s">
        <v>79</v>
      </c>
      <c r="M96" t="s">
        <v>79</v>
      </c>
      <c r="N96" t="s">
        <v>79</v>
      </c>
      <c r="O96" t="s">
        <v>79</v>
      </c>
      <c r="P96" t="s">
        <v>79</v>
      </c>
      <c r="Q96" t="s">
        <v>79</v>
      </c>
      <c r="S96" t="s">
        <v>208</v>
      </c>
      <c r="T96" t="s">
        <v>79</v>
      </c>
      <c r="U96" t="s">
        <v>79</v>
      </c>
      <c r="V96" t="s">
        <v>79</v>
      </c>
      <c r="W96" t="s">
        <v>79</v>
      </c>
      <c r="X96" t="s">
        <v>79</v>
      </c>
      <c r="Y96" t="s">
        <v>209</v>
      </c>
      <c r="AB96" t="s">
        <v>79</v>
      </c>
      <c r="AC96" t="s">
        <v>79</v>
      </c>
      <c r="AD96" t="s">
        <v>79</v>
      </c>
      <c r="AE96" t="s">
        <v>79</v>
      </c>
      <c r="AF96" t="s">
        <v>79</v>
      </c>
      <c r="AL96" t="s">
        <v>143</v>
      </c>
    </row>
    <row r="97" spans="1:38" ht="13.8" x14ac:dyDescent="0.2">
      <c r="A97" s="23"/>
      <c r="B97" s="5"/>
      <c r="D97" s="24"/>
      <c r="E97" s="22"/>
      <c r="F97" s="22"/>
      <c r="G97" s="22"/>
      <c r="H97" s="22"/>
      <c r="I97" s="22"/>
      <c r="J97" s="22"/>
      <c r="K97" t="s">
        <v>144</v>
      </c>
      <c r="AA97" t="s">
        <v>1</v>
      </c>
      <c r="AB97" t="s">
        <v>6</v>
      </c>
      <c r="AC97" t="s">
        <v>6</v>
      </c>
      <c r="AD97" t="s">
        <v>6</v>
      </c>
      <c r="AE97" t="s">
        <v>6</v>
      </c>
      <c r="AF97" t="s">
        <v>6</v>
      </c>
      <c r="AL97" t="s">
        <v>144</v>
      </c>
    </row>
  </sheetData>
  <mergeCells count="84">
    <mergeCell ref="AP3:AQ3"/>
    <mergeCell ref="A7:A8"/>
    <mergeCell ref="H7:H8"/>
    <mergeCell ref="I7:I8"/>
    <mergeCell ref="A10:A11"/>
    <mergeCell ref="H10:H11"/>
    <mergeCell ref="I10:I11"/>
    <mergeCell ref="A5:J6"/>
    <mergeCell ref="L3:Q3"/>
    <mergeCell ref="T3:X3"/>
    <mergeCell ref="AB3:AF3"/>
    <mergeCell ref="AM3:AN3"/>
    <mergeCell ref="A13:A14"/>
    <mergeCell ref="H13:H14"/>
    <mergeCell ref="I13:I14"/>
    <mergeCell ref="A16:A17"/>
    <mergeCell ref="H16:H17"/>
    <mergeCell ref="I16:I17"/>
    <mergeCell ref="A20:A21"/>
    <mergeCell ref="H20:H21"/>
    <mergeCell ref="I20:I21"/>
    <mergeCell ref="A23:A24"/>
    <mergeCell ref="H23:H24"/>
    <mergeCell ref="I23:I24"/>
    <mergeCell ref="A26:A27"/>
    <mergeCell ref="H26:H27"/>
    <mergeCell ref="I26:I27"/>
    <mergeCell ref="A30:A31"/>
    <mergeCell ref="H30:H31"/>
    <mergeCell ref="I30:I31"/>
    <mergeCell ref="A32:A33"/>
    <mergeCell ref="I32:I33"/>
    <mergeCell ref="A34:A35"/>
    <mergeCell ref="I34:I35"/>
    <mergeCell ref="A39:A40"/>
    <mergeCell ref="H39:H40"/>
    <mergeCell ref="A42:A43"/>
    <mergeCell ref="I42:I43"/>
    <mergeCell ref="A45:A46"/>
    <mergeCell ref="I45:I46"/>
    <mergeCell ref="A48:A49"/>
    <mergeCell ref="I48:I49"/>
    <mergeCell ref="L62:L63"/>
    <mergeCell ref="A52:A53"/>
    <mergeCell ref="H52:H53"/>
    <mergeCell ref="I52:I53"/>
    <mergeCell ref="A54:A55"/>
    <mergeCell ref="H54:H55"/>
    <mergeCell ref="A56:A57"/>
    <mergeCell ref="I56:I57"/>
    <mergeCell ref="A58:A59"/>
    <mergeCell ref="I58:I59"/>
    <mergeCell ref="A60:A61"/>
    <mergeCell ref="I60:I61"/>
    <mergeCell ref="J62:J63"/>
    <mergeCell ref="J74:J75"/>
    <mergeCell ref="C74:C75"/>
    <mergeCell ref="A76:A77"/>
    <mergeCell ref="J76:J77"/>
    <mergeCell ref="I67:I68"/>
    <mergeCell ref="A70:A71"/>
    <mergeCell ref="A72:A73"/>
    <mergeCell ref="H67:H68"/>
    <mergeCell ref="B70:I71"/>
    <mergeCell ref="C72:I73"/>
    <mergeCell ref="D74:I75"/>
    <mergeCell ref="D76:D77"/>
    <mergeCell ref="A74:A75"/>
    <mergeCell ref="A96:A97"/>
    <mergeCell ref="D96:D97"/>
    <mergeCell ref="E96:I97"/>
    <mergeCell ref="A78:A79"/>
    <mergeCell ref="E78:E79"/>
    <mergeCell ref="J78:J79"/>
    <mergeCell ref="F78:I79"/>
    <mergeCell ref="E76:I77"/>
    <mergeCell ref="J96:J97"/>
    <mergeCell ref="A82:A83"/>
    <mergeCell ref="E82:E83"/>
    <mergeCell ref="J82:J83"/>
    <mergeCell ref="F82:I83"/>
    <mergeCell ref="A93:A94"/>
    <mergeCell ref="H93:H94"/>
    <mergeCell ref="I93:I9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4E991-96F6-4687-89C1-73B02D9536EB}">
  <dimension ref="A1:AT69"/>
  <sheetViews>
    <sheetView topLeftCell="A4" zoomScale="160" zoomScaleNormal="160" workbookViewId="0">
      <pane xSplit="4" ySplit="4" topLeftCell="E31" activePane="bottomRight" state="frozen"/>
      <selection activeCell="A4" sqref="A4"/>
      <selection pane="topRight" activeCell="E4" sqref="E4"/>
      <selection pane="bottomLeft" activeCell="A7" sqref="A7"/>
      <selection pane="bottomRight" activeCell="AI51" sqref="AI51"/>
    </sheetView>
    <sheetView workbookViewId="1"/>
  </sheetViews>
  <sheetFormatPr defaultRowHeight="10.199999999999999" x14ac:dyDescent="0.2"/>
  <cols>
    <col min="2" max="3" width="14.33203125" customWidth="1"/>
    <col min="4" max="4" width="11.1640625" customWidth="1"/>
    <col min="5" max="5" width="9.83203125" customWidth="1"/>
    <col min="6" max="9" width="10.5" customWidth="1"/>
    <col min="10" max="10" width="10.83203125" customWidth="1"/>
    <col min="11" max="11" width="9.6640625" customWidth="1"/>
    <col min="12" max="12" width="3.83203125" customWidth="1"/>
    <col min="13" max="13" width="10.5" customWidth="1"/>
    <col min="14" max="15" width="9.6640625" customWidth="1"/>
    <col min="16" max="19" width="9" customWidth="1"/>
    <col min="20" max="20" width="3" customWidth="1"/>
    <col min="21" max="21" width="9" customWidth="1"/>
    <col min="22" max="26" width="10.5" customWidth="1"/>
    <col min="27" max="29" width="1.33203125" customWidth="1"/>
    <col min="30" max="33" width="3.1640625" customWidth="1"/>
    <col min="34" max="34" width="11.83203125" customWidth="1"/>
    <col min="35" max="36" width="16.6640625" customWidth="1"/>
    <col min="37" max="37" width="3.6640625" customWidth="1"/>
    <col min="38" max="39" width="14.33203125" customWidth="1"/>
    <col min="40" max="40" width="4.1640625" customWidth="1"/>
    <col min="41" max="43" width="10.5" customWidth="1"/>
    <col min="46" max="46" width="42" customWidth="1"/>
  </cols>
  <sheetData>
    <row r="1" spans="1:46" ht="20.399999999999999" x14ac:dyDescent="0.2">
      <c r="B1" s="7" t="s">
        <v>0</v>
      </c>
    </row>
    <row r="2" spans="1:46" s="3" customFormat="1" ht="12" customHeight="1" x14ac:dyDescent="0.3">
      <c r="A2" s="8"/>
      <c r="B2" s="9"/>
      <c r="C2"/>
      <c r="D2"/>
      <c r="E2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/>
      <c r="V2"/>
      <c r="W2"/>
      <c r="X2"/>
      <c r="Y2"/>
      <c r="Z2"/>
      <c r="AB2" s="8"/>
      <c r="AC2" s="8"/>
      <c r="AD2" s="8"/>
      <c r="AE2" s="8"/>
      <c r="AF2" s="8"/>
      <c r="AG2" s="8"/>
      <c r="AH2" s="8"/>
      <c r="AI2" s="10"/>
      <c r="AJ2" s="10"/>
      <c r="AK2"/>
      <c r="AL2"/>
      <c r="AM2"/>
      <c r="AN2"/>
      <c r="AO2"/>
      <c r="AP2"/>
      <c r="AQ2"/>
      <c r="AR2"/>
      <c r="AS2"/>
      <c r="AT2"/>
    </row>
    <row r="3" spans="1:46" s="1" customFormat="1" ht="87" customHeight="1" x14ac:dyDescent="0.2">
      <c r="AG3" s="14"/>
      <c r="AI3" s="1" t="s">
        <v>34</v>
      </c>
      <c r="AJ3" s="1" t="s">
        <v>34</v>
      </c>
      <c r="AP3" s="1" t="s">
        <v>18</v>
      </c>
      <c r="AT3" s="11" t="s">
        <v>45</v>
      </c>
    </row>
    <row r="4" spans="1:46" s="3" customFormat="1" ht="12" customHeight="1" x14ac:dyDescent="0.3">
      <c r="A4" s="8"/>
      <c r="B4" s="9"/>
      <c r="C4"/>
      <c r="D4"/>
      <c r="E4"/>
      <c r="F4" s="26" t="s">
        <v>121</v>
      </c>
      <c r="G4" s="26"/>
      <c r="H4" s="26"/>
      <c r="I4" s="26"/>
      <c r="J4" s="26"/>
      <c r="K4" s="26"/>
      <c r="L4" s="10"/>
      <c r="M4" s="16"/>
      <c r="N4" s="26" t="s">
        <v>60</v>
      </c>
      <c r="O4" s="26"/>
      <c r="P4" s="26"/>
      <c r="Q4" s="26"/>
      <c r="R4" s="26"/>
      <c r="S4" s="10"/>
      <c r="T4" s="10"/>
      <c r="U4"/>
      <c r="V4" s="26" t="s">
        <v>51</v>
      </c>
      <c r="W4" s="26"/>
      <c r="X4" s="26"/>
      <c r="Y4" s="26"/>
      <c r="Z4" s="26"/>
      <c r="AB4" s="8"/>
      <c r="AC4" s="8"/>
      <c r="AD4" s="8"/>
      <c r="AE4" s="8"/>
      <c r="AF4" s="8"/>
      <c r="AG4" s="8"/>
      <c r="AH4" s="8"/>
      <c r="AI4" s="26" t="s">
        <v>46</v>
      </c>
      <c r="AJ4" s="26"/>
      <c r="AK4"/>
      <c r="AL4" s="26" t="s">
        <v>47</v>
      </c>
      <c r="AM4" s="26"/>
      <c r="AN4"/>
      <c r="AO4"/>
      <c r="AP4"/>
      <c r="AQ4"/>
      <c r="AR4"/>
      <c r="AS4"/>
      <c r="AT4"/>
    </row>
    <row r="5" spans="1:46" s="2" customFormat="1" ht="108" customHeight="1" x14ac:dyDescent="0.2">
      <c r="A5" s="12"/>
      <c r="B5" s="12"/>
      <c r="C5" s="12"/>
      <c r="D5" s="12"/>
      <c r="E5" s="12"/>
      <c r="F5" s="12" t="s">
        <v>68</v>
      </c>
      <c r="G5" s="12" t="s">
        <v>82</v>
      </c>
      <c r="H5" s="12" t="s">
        <v>83</v>
      </c>
      <c r="I5" s="12" t="s">
        <v>69</v>
      </c>
      <c r="J5" s="12" t="s">
        <v>81</v>
      </c>
      <c r="K5" s="12" t="s">
        <v>70</v>
      </c>
      <c r="L5" s="12"/>
      <c r="M5" s="12"/>
      <c r="N5" s="12" t="s">
        <v>71</v>
      </c>
      <c r="O5" s="12" t="s">
        <v>66</v>
      </c>
      <c r="P5" s="12" t="s">
        <v>67</v>
      </c>
      <c r="Q5" s="12" t="s">
        <v>114</v>
      </c>
      <c r="R5" s="12" t="s">
        <v>115</v>
      </c>
      <c r="T5" s="12"/>
      <c r="U5" s="12"/>
      <c r="V5" s="12" t="s">
        <v>71</v>
      </c>
      <c r="W5" s="12" t="s">
        <v>66</v>
      </c>
      <c r="X5" s="12" t="s">
        <v>67</v>
      </c>
      <c r="Y5" s="12" t="s">
        <v>73</v>
      </c>
      <c r="Z5" s="12" t="s">
        <v>72</v>
      </c>
      <c r="AB5" s="12"/>
      <c r="AC5" s="12"/>
      <c r="AD5" s="1" t="s">
        <v>3</v>
      </c>
      <c r="AE5" s="1" t="s">
        <v>4</v>
      </c>
      <c r="AF5" s="1" t="s">
        <v>5</v>
      </c>
      <c r="AG5" s="1" t="s">
        <v>52</v>
      </c>
      <c r="AH5" s="14"/>
      <c r="AI5" s="12" t="s">
        <v>146</v>
      </c>
      <c r="AJ5" s="12" t="s">
        <v>145</v>
      </c>
      <c r="AK5" s="1"/>
      <c r="AL5" s="12" t="s">
        <v>13</v>
      </c>
      <c r="AM5" s="12" t="s">
        <v>14</v>
      </c>
      <c r="AN5" s="12"/>
      <c r="AO5" s="12" t="s">
        <v>48</v>
      </c>
      <c r="AP5" s="12" t="s">
        <v>49</v>
      </c>
      <c r="AQ5" s="12" t="s">
        <v>50</v>
      </c>
      <c r="AR5" s="12" t="s">
        <v>15</v>
      </c>
      <c r="AS5" s="12" t="s">
        <v>16</v>
      </c>
      <c r="AT5" s="13"/>
    </row>
    <row r="6" spans="1:46" s="2" customFormat="1" ht="16.2" customHeight="1" x14ac:dyDescent="0.25">
      <c r="A6" s="22" t="s">
        <v>102</v>
      </c>
      <c r="B6" s="22"/>
      <c r="C6" s="22"/>
      <c r="D6" s="22"/>
      <c r="E6"/>
      <c r="F6" s="12"/>
      <c r="G6" s="12"/>
      <c r="H6" s="12"/>
      <c r="I6" s="12"/>
      <c r="J6" s="12"/>
      <c r="K6" s="12"/>
      <c r="L6" s="12"/>
      <c r="M6" s="12"/>
      <c r="N6" s="15" t="s">
        <v>97</v>
      </c>
      <c r="O6" s="15" t="s">
        <v>98</v>
      </c>
      <c r="P6" s="15" t="s">
        <v>99</v>
      </c>
      <c r="Q6" s="15" t="s">
        <v>100</v>
      </c>
      <c r="R6" s="15" t="s">
        <v>101</v>
      </c>
      <c r="T6" s="12"/>
      <c r="U6" s="12"/>
      <c r="V6" s="12"/>
      <c r="W6" s="12"/>
      <c r="X6" s="12"/>
      <c r="Y6" s="12"/>
      <c r="Z6" s="12"/>
      <c r="AB6" s="12"/>
      <c r="AC6" s="12"/>
      <c r="AD6" s="1"/>
      <c r="AE6" s="1"/>
      <c r="AF6" s="1"/>
      <c r="AG6" s="1"/>
      <c r="AH6" s="14"/>
      <c r="AI6" s="12"/>
      <c r="AJ6" s="12"/>
      <c r="AK6" s="1"/>
      <c r="AL6" s="12"/>
      <c r="AM6" s="12"/>
      <c r="AN6" s="12"/>
      <c r="AO6" s="12"/>
      <c r="AP6" s="12"/>
      <c r="AQ6" s="12"/>
      <c r="AR6" s="12"/>
      <c r="AS6" s="12"/>
      <c r="AT6" s="13"/>
    </row>
    <row r="7" spans="1:46" ht="25.2" customHeight="1" x14ac:dyDescent="0.2">
      <c r="A7" s="22"/>
      <c r="B7" s="22"/>
      <c r="C7" s="22"/>
      <c r="D7" s="22"/>
      <c r="N7" t="s">
        <v>75</v>
      </c>
      <c r="O7" t="s">
        <v>74</v>
      </c>
      <c r="P7" t="s">
        <v>76</v>
      </c>
      <c r="Q7" t="s">
        <v>77</v>
      </c>
      <c r="R7" t="s">
        <v>78</v>
      </c>
    </row>
    <row r="8" spans="1:46" ht="20.399999999999999" x14ac:dyDescent="0.2">
      <c r="A8" s="25" t="s">
        <v>35</v>
      </c>
      <c r="B8" s="22" t="s">
        <v>10</v>
      </c>
      <c r="C8" s="22"/>
      <c r="F8" t="s">
        <v>56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M8" t="s">
        <v>116</v>
      </c>
      <c r="N8" t="s">
        <v>79</v>
      </c>
      <c r="O8" t="s">
        <v>91</v>
      </c>
      <c r="P8" t="s">
        <v>79</v>
      </c>
      <c r="Q8" t="s">
        <v>79</v>
      </c>
      <c r="R8" t="s">
        <v>79</v>
      </c>
      <c r="V8" t="s">
        <v>61</v>
      </c>
      <c r="W8" t="s">
        <v>106</v>
      </c>
      <c r="X8" t="s">
        <v>61</v>
      </c>
      <c r="Y8" t="s">
        <v>61</v>
      </c>
      <c r="Z8" t="s">
        <v>61</v>
      </c>
      <c r="AE8" t="s">
        <v>8</v>
      </c>
      <c r="AF8" t="s">
        <v>6</v>
      </c>
      <c r="AG8" t="s">
        <v>6</v>
      </c>
      <c r="AH8" t="s">
        <v>143</v>
      </c>
      <c r="AI8" t="s">
        <v>134</v>
      </c>
      <c r="AJ8" t="s">
        <v>17</v>
      </c>
      <c r="AL8" t="s">
        <v>93</v>
      </c>
      <c r="AM8" t="s">
        <v>17</v>
      </c>
      <c r="AO8" t="s">
        <v>24</v>
      </c>
      <c r="AP8" t="s">
        <v>6</v>
      </c>
      <c r="AQ8" t="s">
        <v>6</v>
      </c>
      <c r="AR8" t="s">
        <v>7</v>
      </c>
      <c r="AS8" t="s">
        <v>7</v>
      </c>
    </row>
    <row r="9" spans="1:46" ht="20.399999999999999" x14ac:dyDescent="0.2">
      <c r="A9" s="25"/>
      <c r="B9" s="22"/>
      <c r="C9" s="22"/>
      <c r="O9" t="s">
        <v>53</v>
      </c>
      <c r="U9" t="s">
        <v>1</v>
      </c>
      <c r="V9" t="s">
        <v>6</v>
      </c>
      <c r="W9" t="s">
        <v>59</v>
      </c>
      <c r="X9" t="s">
        <v>6</v>
      </c>
      <c r="Y9" t="s">
        <v>6</v>
      </c>
      <c r="Z9" t="s">
        <v>6</v>
      </c>
      <c r="AD9" t="s">
        <v>8</v>
      </c>
      <c r="AH9" t="s">
        <v>144</v>
      </c>
      <c r="AI9" t="s">
        <v>135</v>
      </c>
      <c r="AL9" t="s">
        <v>142</v>
      </c>
      <c r="AR9" t="s">
        <v>33</v>
      </c>
      <c r="AS9" t="s">
        <v>33</v>
      </c>
    </row>
    <row r="11" spans="1:46" ht="40.799999999999997" x14ac:dyDescent="0.2">
      <c r="A11" s="23" t="str">
        <f>A$8&amp;"1"</f>
        <v>A1</v>
      </c>
      <c r="B11" s="22" t="s">
        <v>9</v>
      </c>
      <c r="C11" s="22" t="s">
        <v>63</v>
      </c>
      <c r="F11" t="s">
        <v>64</v>
      </c>
      <c r="G11" t="s">
        <v>79</v>
      </c>
      <c r="H11" t="s">
        <v>79</v>
      </c>
      <c r="I11" t="s">
        <v>79</v>
      </c>
      <c r="J11" t="s">
        <v>79</v>
      </c>
      <c r="K11" t="s">
        <v>79</v>
      </c>
      <c r="M11" t="s">
        <v>117</v>
      </c>
      <c r="N11" t="s">
        <v>79</v>
      </c>
      <c r="O11" t="s">
        <v>95</v>
      </c>
      <c r="P11" t="s">
        <v>79</v>
      </c>
      <c r="Q11" t="s">
        <v>111</v>
      </c>
      <c r="R11" t="s">
        <v>111</v>
      </c>
      <c r="V11" t="s">
        <v>61</v>
      </c>
      <c r="W11" t="s">
        <v>61</v>
      </c>
      <c r="X11" t="s">
        <v>61</v>
      </c>
      <c r="Y11" t="s">
        <v>61</v>
      </c>
      <c r="Z11" t="s">
        <v>61</v>
      </c>
      <c r="AE11" t="s">
        <v>6</v>
      </c>
      <c r="AF11" t="s">
        <v>6</v>
      </c>
      <c r="AG11" t="s">
        <v>6</v>
      </c>
      <c r="AH11" t="s">
        <v>143</v>
      </c>
      <c r="AI11" t="s">
        <v>130</v>
      </c>
      <c r="AJ11" t="s">
        <v>17</v>
      </c>
      <c r="AL11" t="s">
        <v>110</v>
      </c>
      <c r="AM11" t="s">
        <v>17</v>
      </c>
      <c r="AP11" t="s">
        <v>17</v>
      </c>
      <c r="AT11" t="s">
        <v>55</v>
      </c>
    </row>
    <row r="12" spans="1:46" ht="30.6" x14ac:dyDescent="0.2">
      <c r="A12" s="23"/>
      <c r="B12" s="22"/>
      <c r="C12" s="22"/>
      <c r="F12" t="s">
        <v>65</v>
      </c>
      <c r="J12" t="s">
        <v>80</v>
      </c>
      <c r="O12" t="s">
        <v>54</v>
      </c>
      <c r="Q12" t="s">
        <v>109</v>
      </c>
      <c r="R12" t="s">
        <v>109</v>
      </c>
      <c r="U12" t="s">
        <v>1</v>
      </c>
      <c r="V12" t="s">
        <v>6</v>
      </c>
      <c r="W12" t="s">
        <v>6</v>
      </c>
      <c r="X12" t="s">
        <v>6</v>
      </c>
      <c r="Y12" t="s">
        <v>6</v>
      </c>
      <c r="Z12" t="s">
        <v>6</v>
      </c>
      <c r="AD12" t="s">
        <v>6</v>
      </c>
      <c r="AH12" t="s">
        <v>144</v>
      </c>
      <c r="AI12" t="s">
        <v>136</v>
      </c>
      <c r="AL12" t="s">
        <v>141</v>
      </c>
    </row>
    <row r="14" spans="1:46" x14ac:dyDescent="0.2">
      <c r="A14" s="23" t="str">
        <f>A$8&amp;"2"</f>
        <v>A2</v>
      </c>
      <c r="B14" s="22" t="s">
        <v>9</v>
      </c>
      <c r="C14" s="22" t="s">
        <v>62</v>
      </c>
      <c r="D14" t="s">
        <v>87</v>
      </c>
      <c r="F14" t="s">
        <v>57</v>
      </c>
      <c r="G14" t="s">
        <v>79</v>
      </c>
      <c r="H14" t="s">
        <v>79</v>
      </c>
      <c r="I14" t="s">
        <v>79</v>
      </c>
      <c r="J14" t="s">
        <v>79</v>
      </c>
      <c r="K14" t="s">
        <v>79</v>
      </c>
      <c r="N14" t="s">
        <v>79</v>
      </c>
      <c r="O14" t="s">
        <v>79</v>
      </c>
      <c r="P14" t="s">
        <v>79</v>
      </c>
      <c r="Q14" t="s">
        <v>79</v>
      </c>
      <c r="R14" t="s">
        <v>79</v>
      </c>
      <c r="AP14" t="s">
        <v>17</v>
      </c>
    </row>
    <row r="15" spans="1:46" x14ac:dyDescent="0.2">
      <c r="A15" s="23"/>
      <c r="B15" s="22"/>
      <c r="C15" s="22"/>
      <c r="U15" t="s">
        <v>1</v>
      </c>
    </row>
    <row r="17" spans="1:46" ht="40.799999999999997" x14ac:dyDescent="0.2">
      <c r="A17" s="23" t="str">
        <f>A$8&amp;"3"</f>
        <v>A3</v>
      </c>
      <c r="B17" s="22" t="s">
        <v>9</v>
      </c>
      <c r="C17" s="22" t="s">
        <v>85</v>
      </c>
      <c r="F17" t="s">
        <v>58</v>
      </c>
      <c r="G17" t="s">
        <v>79</v>
      </c>
      <c r="H17" t="s">
        <v>79</v>
      </c>
      <c r="I17" t="s">
        <v>79</v>
      </c>
      <c r="J17" t="s">
        <v>79</v>
      </c>
      <c r="K17" t="s">
        <v>79</v>
      </c>
      <c r="M17" t="s">
        <v>118</v>
      </c>
      <c r="N17" t="s">
        <v>79</v>
      </c>
      <c r="O17" t="s">
        <v>122</v>
      </c>
      <c r="P17" t="s">
        <v>79</v>
      </c>
      <c r="Q17" t="s">
        <v>112</v>
      </c>
      <c r="R17" t="s">
        <v>112</v>
      </c>
      <c r="V17" t="s">
        <v>61</v>
      </c>
      <c r="W17" t="s">
        <v>61</v>
      </c>
      <c r="X17" t="s">
        <v>61</v>
      </c>
      <c r="Y17" t="s">
        <v>61</v>
      </c>
      <c r="Z17" t="s">
        <v>61</v>
      </c>
      <c r="AH17" t="s">
        <v>143</v>
      </c>
      <c r="AI17" t="s">
        <v>130</v>
      </c>
      <c r="AJ17" t="s">
        <v>17</v>
      </c>
      <c r="AL17" t="s">
        <v>110</v>
      </c>
      <c r="AM17" t="s">
        <v>17</v>
      </c>
      <c r="AP17" t="s">
        <v>17</v>
      </c>
    </row>
    <row r="18" spans="1:46" ht="20.399999999999999" x14ac:dyDescent="0.2">
      <c r="A18" s="23"/>
      <c r="B18" s="22"/>
      <c r="C18" s="22"/>
      <c r="F18" t="s">
        <v>84</v>
      </c>
      <c r="J18" t="s">
        <v>80</v>
      </c>
      <c r="O18" t="s">
        <v>54</v>
      </c>
      <c r="Q18" t="s">
        <v>113</v>
      </c>
      <c r="R18" t="s">
        <v>113</v>
      </c>
      <c r="U18" t="s">
        <v>1</v>
      </c>
      <c r="V18" t="s">
        <v>6</v>
      </c>
      <c r="W18" t="s">
        <v>6</v>
      </c>
      <c r="X18" t="s">
        <v>6</v>
      </c>
      <c r="Y18" t="s">
        <v>6</v>
      </c>
      <c r="Z18" t="s">
        <v>6</v>
      </c>
      <c r="AH18" t="s">
        <v>144</v>
      </c>
      <c r="AI18" t="s">
        <v>136</v>
      </c>
      <c r="AL18" t="s">
        <v>141</v>
      </c>
    </row>
    <row r="21" spans="1:46" x14ac:dyDescent="0.2">
      <c r="A21" s="25" t="s">
        <v>22</v>
      </c>
      <c r="B21" s="22" t="s">
        <v>11</v>
      </c>
      <c r="C21" s="22"/>
      <c r="D21" t="s">
        <v>87</v>
      </c>
      <c r="AO21" t="s">
        <v>24</v>
      </c>
      <c r="AP21" t="s">
        <v>6</v>
      </c>
      <c r="AQ21" t="s">
        <v>6</v>
      </c>
      <c r="AR21" t="s">
        <v>7</v>
      </c>
      <c r="AS21" t="s">
        <v>7</v>
      </c>
    </row>
    <row r="22" spans="1:46" x14ac:dyDescent="0.2">
      <c r="A22" s="25"/>
      <c r="B22" s="22"/>
      <c r="C22" s="22"/>
      <c r="D22" t="s">
        <v>119</v>
      </c>
      <c r="U22" t="s">
        <v>1</v>
      </c>
      <c r="AR22" t="s">
        <v>33</v>
      </c>
      <c r="AS22" t="s">
        <v>33</v>
      </c>
    </row>
    <row r="23" spans="1:46" ht="20.399999999999999" x14ac:dyDescent="0.2">
      <c r="A23" s="4"/>
    </row>
    <row r="24" spans="1:46" ht="20.399999999999999" x14ac:dyDescent="0.2">
      <c r="A24" s="23" t="str">
        <f>A$21&amp;"1"</f>
        <v>B1</v>
      </c>
      <c r="B24" s="22" t="s">
        <v>9</v>
      </c>
      <c r="C24" s="22" t="s">
        <v>29</v>
      </c>
      <c r="D24" t="s">
        <v>88</v>
      </c>
      <c r="AP24" t="s">
        <v>17</v>
      </c>
      <c r="AT24" t="s">
        <v>43</v>
      </c>
    </row>
    <row r="25" spans="1:46" x14ac:dyDescent="0.2">
      <c r="A25" s="23"/>
      <c r="B25" s="22"/>
      <c r="C25" s="22"/>
      <c r="D25" t="s">
        <v>119</v>
      </c>
      <c r="U25" t="s">
        <v>1</v>
      </c>
    </row>
    <row r="26" spans="1:46" ht="13.8" x14ac:dyDescent="0.2">
      <c r="A26" s="5"/>
    </row>
    <row r="27" spans="1:46" ht="20.399999999999999" x14ac:dyDescent="0.2">
      <c r="A27" s="23" t="str">
        <f>A$21&amp;"2"</f>
        <v>B2</v>
      </c>
      <c r="B27" s="22" t="s">
        <v>9</v>
      </c>
      <c r="C27" s="22" t="s">
        <v>30</v>
      </c>
      <c r="D27" t="s">
        <v>89</v>
      </c>
      <c r="AP27" t="s">
        <v>17</v>
      </c>
      <c r="AT27" t="s">
        <v>44</v>
      </c>
    </row>
    <row r="28" spans="1:46" x14ac:dyDescent="0.2">
      <c r="A28" s="23"/>
      <c r="B28" s="22"/>
      <c r="C28" s="22"/>
      <c r="D28" t="s">
        <v>119</v>
      </c>
      <c r="U28" t="s">
        <v>1</v>
      </c>
    </row>
    <row r="29" spans="1:46" ht="8.4" customHeight="1" x14ac:dyDescent="0.2"/>
    <row r="31" spans="1:46" x14ac:dyDescent="0.2">
      <c r="A31" s="25" t="s">
        <v>36</v>
      </c>
      <c r="B31" s="22" t="s">
        <v>120</v>
      </c>
      <c r="C31" s="22"/>
      <c r="D31" t="s">
        <v>87</v>
      </c>
      <c r="AO31" t="s">
        <v>24</v>
      </c>
      <c r="AP31" t="s">
        <v>6</v>
      </c>
      <c r="AQ31" t="s">
        <v>6</v>
      </c>
      <c r="AR31" t="s">
        <v>7</v>
      </c>
      <c r="AS31" t="s">
        <v>7</v>
      </c>
    </row>
    <row r="32" spans="1:46" x14ac:dyDescent="0.2">
      <c r="A32" s="25"/>
      <c r="B32" s="22"/>
      <c r="C32" s="22"/>
      <c r="U32" t="s">
        <v>1</v>
      </c>
      <c r="AR32" t="s">
        <v>33</v>
      </c>
      <c r="AS32" t="s">
        <v>33</v>
      </c>
    </row>
    <row r="33" spans="1:46" ht="20.399999999999999" x14ac:dyDescent="0.2">
      <c r="A33" s="23" t="str">
        <f>A$31&amp;"1"</f>
        <v>C1</v>
      </c>
      <c r="B33" t="s">
        <v>9</v>
      </c>
      <c r="C33" s="22" t="s">
        <v>29</v>
      </c>
      <c r="D33" t="s">
        <v>88</v>
      </c>
      <c r="AP33" t="s">
        <v>17</v>
      </c>
      <c r="AT33" t="s">
        <v>43</v>
      </c>
    </row>
    <row r="34" spans="1:46" ht="10.199999999999999" customHeight="1" x14ac:dyDescent="0.2">
      <c r="A34" s="23"/>
      <c r="C34" s="22"/>
      <c r="U34" t="s">
        <v>1</v>
      </c>
    </row>
    <row r="35" spans="1:46" ht="20.399999999999999" x14ac:dyDescent="0.2">
      <c r="A35" s="23" t="str">
        <f>A$31&amp;"2"</f>
        <v>C2</v>
      </c>
      <c r="B35" t="s">
        <v>9</v>
      </c>
      <c r="C35" s="22" t="s">
        <v>30</v>
      </c>
      <c r="D35" t="s">
        <v>89</v>
      </c>
      <c r="AP35" t="s">
        <v>17</v>
      </c>
      <c r="AT35" t="s">
        <v>44</v>
      </c>
    </row>
    <row r="36" spans="1:46" ht="10.199999999999999" customHeight="1" x14ac:dyDescent="0.2">
      <c r="A36" s="23"/>
      <c r="C36" s="22"/>
      <c r="U36" t="s">
        <v>1</v>
      </c>
    </row>
    <row r="38" spans="1:46" ht="15.6" x14ac:dyDescent="0.2">
      <c r="B38" s="6" t="s">
        <v>12</v>
      </c>
    </row>
    <row r="40" spans="1:46" ht="30.6" x14ac:dyDescent="0.2">
      <c r="A40" s="25" t="s">
        <v>37</v>
      </c>
      <c r="B40" s="22" t="s">
        <v>19</v>
      </c>
      <c r="D40" t="s">
        <v>123</v>
      </c>
      <c r="E40" t="s">
        <v>143</v>
      </c>
      <c r="F40" t="s">
        <v>79</v>
      </c>
      <c r="G40" t="s">
        <v>79</v>
      </c>
      <c r="H40" t="s">
        <v>79</v>
      </c>
      <c r="I40" t="s">
        <v>124</v>
      </c>
      <c r="J40" t="s">
        <v>79</v>
      </c>
      <c r="K40" t="s">
        <v>79</v>
      </c>
      <c r="M40" t="s">
        <v>125</v>
      </c>
      <c r="N40" t="s">
        <v>79</v>
      </c>
      <c r="O40" t="s">
        <v>79</v>
      </c>
      <c r="P40" t="s">
        <v>91</v>
      </c>
      <c r="Q40" t="s">
        <v>79</v>
      </c>
      <c r="R40" t="s">
        <v>79</v>
      </c>
      <c r="V40" t="s">
        <v>61</v>
      </c>
      <c r="W40" t="s">
        <v>61</v>
      </c>
      <c r="X40" t="s">
        <v>126</v>
      </c>
      <c r="Y40" t="s">
        <v>107</v>
      </c>
      <c r="Z40" t="s">
        <v>138</v>
      </c>
      <c r="AE40" t="s">
        <v>6</v>
      </c>
      <c r="AF40" t="s">
        <v>8</v>
      </c>
      <c r="AG40" t="s">
        <v>6</v>
      </c>
      <c r="AH40" t="s">
        <v>143</v>
      </c>
      <c r="AI40" t="s">
        <v>160</v>
      </c>
      <c r="AJ40" t="s">
        <v>17</v>
      </c>
      <c r="AL40" t="s">
        <v>94</v>
      </c>
      <c r="AM40" t="s">
        <v>17</v>
      </c>
      <c r="AO40" t="s">
        <v>28</v>
      </c>
      <c r="AP40" t="s">
        <v>8</v>
      </c>
      <c r="AQ40" t="s">
        <v>6</v>
      </c>
      <c r="AR40" t="s">
        <v>2</v>
      </c>
      <c r="AS40" t="s">
        <v>2</v>
      </c>
    </row>
    <row r="41" spans="1:46" ht="20.399999999999999" x14ac:dyDescent="0.2">
      <c r="A41" s="25"/>
      <c r="B41" s="22"/>
      <c r="E41" t="s">
        <v>144</v>
      </c>
      <c r="P41" t="s">
        <v>90</v>
      </c>
      <c r="U41" t="s">
        <v>1</v>
      </c>
      <c r="V41" t="s">
        <v>6</v>
      </c>
      <c r="W41" t="s">
        <v>6</v>
      </c>
      <c r="X41" t="s">
        <v>8</v>
      </c>
      <c r="Y41" t="s">
        <v>6</v>
      </c>
      <c r="Z41" t="s">
        <v>6</v>
      </c>
      <c r="AD41" t="s">
        <v>8</v>
      </c>
      <c r="AH41" t="s">
        <v>144</v>
      </c>
      <c r="AI41" t="s">
        <v>153</v>
      </c>
      <c r="AL41" t="s">
        <v>141</v>
      </c>
      <c r="AR41" t="s">
        <v>25</v>
      </c>
      <c r="AS41" t="s">
        <v>25</v>
      </c>
    </row>
    <row r="42" spans="1:46" ht="6.6" customHeight="1" x14ac:dyDescent="0.2">
      <c r="A42" s="4"/>
    </row>
    <row r="43" spans="1:46" ht="30.6" x14ac:dyDescent="0.2">
      <c r="A43" s="23" t="str">
        <f>A$40&amp;"1"</f>
        <v>D1</v>
      </c>
      <c r="B43" t="s">
        <v>9</v>
      </c>
      <c r="C43" s="22" t="s">
        <v>20</v>
      </c>
      <c r="D43" t="s">
        <v>132</v>
      </c>
      <c r="E43" t="s">
        <v>143</v>
      </c>
      <c r="F43" t="s">
        <v>79</v>
      </c>
      <c r="G43" t="s">
        <v>79</v>
      </c>
      <c r="H43" t="s">
        <v>79</v>
      </c>
      <c r="I43" t="s">
        <v>157</v>
      </c>
      <c r="J43" t="s">
        <v>137</v>
      </c>
      <c r="K43" t="s">
        <v>79</v>
      </c>
      <c r="M43" t="s">
        <v>127</v>
      </c>
      <c r="N43" t="s">
        <v>79</v>
      </c>
      <c r="O43" t="s">
        <v>79</v>
      </c>
      <c r="P43" t="s">
        <v>154</v>
      </c>
      <c r="Q43" t="s">
        <v>137</v>
      </c>
      <c r="R43" t="s">
        <v>137</v>
      </c>
      <c r="V43" t="s">
        <v>61</v>
      </c>
      <c r="W43" t="s">
        <v>61</v>
      </c>
      <c r="X43" t="s">
        <v>151</v>
      </c>
      <c r="Y43" t="s">
        <v>151</v>
      </c>
      <c r="Z43" t="s">
        <v>158</v>
      </c>
      <c r="AE43" t="s">
        <v>6</v>
      </c>
      <c r="AF43" t="s">
        <v>108</v>
      </c>
      <c r="AG43" t="s">
        <v>6</v>
      </c>
      <c r="AH43" t="s">
        <v>143</v>
      </c>
      <c r="AI43" t="s">
        <v>161</v>
      </c>
      <c r="AJ43" t="s">
        <v>17</v>
      </c>
      <c r="AL43" t="s">
        <v>140</v>
      </c>
      <c r="AM43" t="s">
        <v>17</v>
      </c>
      <c r="AO43" t="s">
        <v>28</v>
      </c>
      <c r="AP43" t="s">
        <v>8</v>
      </c>
      <c r="AQ43" t="s">
        <v>6</v>
      </c>
      <c r="AR43" t="s">
        <v>2</v>
      </c>
      <c r="AS43" t="s">
        <v>2</v>
      </c>
      <c r="AT43" t="s">
        <v>39</v>
      </c>
    </row>
    <row r="44" spans="1:46" ht="30.6" x14ac:dyDescent="0.2">
      <c r="A44" s="23"/>
      <c r="C44" s="22"/>
      <c r="E44" t="s">
        <v>144</v>
      </c>
      <c r="I44" t="s">
        <v>148</v>
      </c>
      <c r="P44" t="s">
        <v>162</v>
      </c>
      <c r="Q44" t="s">
        <v>147</v>
      </c>
      <c r="R44" t="s">
        <v>147</v>
      </c>
      <c r="U44" t="s">
        <v>1</v>
      </c>
      <c r="V44" t="s">
        <v>6</v>
      </c>
      <c r="W44" t="s">
        <v>6</v>
      </c>
      <c r="X44" t="s">
        <v>129</v>
      </c>
      <c r="Y44" t="s">
        <v>139</v>
      </c>
      <c r="Z44" t="s">
        <v>139</v>
      </c>
      <c r="AD44" t="s">
        <v>129</v>
      </c>
      <c r="AH44" t="s">
        <v>144</v>
      </c>
      <c r="AI44" t="s">
        <v>155</v>
      </c>
      <c r="AL44" t="s">
        <v>141</v>
      </c>
      <c r="AR44" t="s">
        <v>25</v>
      </c>
      <c r="AS44" t="s">
        <v>25</v>
      </c>
    </row>
    <row r="45" spans="1:46" ht="6.6" customHeight="1" x14ac:dyDescent="0.2">
      <c r="A45" s="5"/>
    </row>
    <row r="46" spans="1:46" x14ac:dyDescent="0.2">
      <c r="A46" s="23" t="str">
        <f>A$40&amp;"2"</f>
        <v>D2</v>
      </c>
      <c r="B46" t="s">
        <v>9</v>
      </c>
      <c r="C46" s="22" t="s">
        <v>31</v>
      </c>
      <c r="D46" t="s">
        <v>131</v>
      </c>
      <c r="AO46" t="s">
        <v>28</v>
      </c>
      <c r="AP46" t="s">
        <v>8</v>
      </c>
      <c r="AQ46" t="s">
        <v>6</v>
      </c>
      <c r="AR46" t="s">
        <v>2</v>
      </c>
      <c r="AS46" t="s">
        <v>2</v>
      </c>
      <c r="AT46" t="s">
        <v>39</v>
      </c>
    </row>
    <row r="47" spans="1:46" x14ac:dyDescent="0.2">
      <c r="A47" s="23"/>
      <c r="C47" s="22"/>
      <c r="U47" t="s">
        <v>1</v>
      </c>
      <c r="AR47" t="s">
        <v>25</v>
      </c>
      <c r="AS47" t="s">
        <v>25</v>
      </c>
    </row>
    <row r="48" spans="1:46" ht="6.6" customHeight="1" x14ac:dyDescent="0.2">
      <c r="A48" s="5"/>
    </row>
    <row r="49" spans="1:46" ht="30.6" x14ac:dyDescent="0.2">
      <c r="A49" s="23" t="str">
        <f>A$40&amp;"3"</f>
        <v>D3</v>
      </c>
      <c r="B49" t="s">
        <v>9</v>
      </c>
      <c r="C49" s="22" t="s">
        <v>32</v>
      </c>
      <c r="E49" t="s">
        <v>143</v>
      </c>
      <c r="I49" t="s">
        <v>156</v>
      </c>
      <c r="J49" t="s">
        <v>137</v>
      </c>
      <c r="M49" t="s">
        <v>133</v>
      </c>
      <c r="P49" t="s">
        <v>150</v>
      </c>
      <c r="Q49" t="s">
        <v>137</v>
      </c>
      <c r="R49" t="s">
        <v>137</v>
      </c>
      <c r="V49" t="s">
        <v>61</v>
      </c>
      <c r="W49" t="s">
        <v>61</v>
      </c>
      <c r="X49" t="s">
        <v>126</v>
      </c>
      <c r="Y49" t="s">
        <v>152</v>
      </c>
      <c r="Z49" t="s">
        <v>158</v>
      </c>
      <c r="AE49" t="s">
        <v>6</v>
      </c>
      <c r="AF49" t="s">
        <v>6</v>
      </c>
      <c r="AG49" t="s">
        <v>6</v>
      </c>
      <c r="AH49" t="s">
        <v>143</v>
      </c>
      <c r="AI49" t="s">
        <v>159</v>
      </c>
      <c r="AO49" t="s">
        <v>28</v>
      </c>
      <c r="AP49" t="s">
        <v>6</v>
      </c>
      <c r="AQ49" t="s">
        <v>6</v>
      </c>
      <c r="AR49" t="s">
        <v>7</v>
      </c>
      <c r="AS49" t="s">
        <v>7</v>
      </c>
      <c r="AT49" t="s">
        <v>42</v>
      </c>
    </row>
    <row r="50" spans="1:46" ht="30.6" x14ac:dyDescent="0.2">
      <c r="A50" s="23"/>
      <c r="C50" s="22"/>
      <c r="E50" t="s">
        <v>144</v>
      </c>
      <c r="I50" t="s">
        <v>149</v>
      </c>
      <c r="P50" t="s">
        <v>90</v>
      </c>
      <c r="Q50" t="s">
        <v>147</v>
      </c>
      <c r="R50" t="s">
        <v>147</v>
      </c>
      <c r="U50" t="s">
        <v>1</v>
      </c>
      <c r="V50" t="s">
        <v>6</v>
      </c>
      <c r="W50" t="s">
        <v>6</v>
      </c>
      <c r="X50" t="s">
        <v>8</v>
      </c>
      <c r="Y50" t="s">
        <v>139</v>
      </c>
      <c r="Z50" t="s">
        <v>139</v>
      </c>
      <c r="AD50" t="s">
        <v>8</v>
      </c>
      <c r="AH50" t="s">
        <v>144</v>
      </c>
      <c r="AI50" t="s">
        <v>163</v>
      </c>
      <c r="AR50" t="s">
        <v>33</v>
      </c>
      <c r="AS50" t="s">
        <v>33</v>
      </c>
    </row>
    <row r="53" spans="1:46" x14ac:dyDescent="0.2">
      <c r="A53" s="25" t="s">
        <v>38</v>
      </c>
      <c r="B53" s="22" t="s">
        <v>10</v>
      </c>
      <c r="C53" s="22"/>
      <c r="AO53" t="s">
        <v>28</v>
      </c>
      <c r="AP53" t="s">
        <v>6</v>
      </c>
      <c r="AQ53" t="s">
        <v>6</v>
      </c>
      <c r="AR53" t="s">
        <v>7</v>
      </c>
      <c r="AS53" t="s">
        <v>7</v>
      </c>
    </row>
    <row r="54" spans="1:46" x14ac:dyDescent="0.2">
      <c r="A54" s="25"/>
      <c r="B54" s="22"/>
      <c r="C54" s="22"/>
      <c r="U54" t="s">
        <v>1</v>
      </c>
      <c r="AR54" t="s">
        <v>33</v>
      </c>
      <c r="AS54" t="s">
        <v>33</v>
      </c>
    </row>
    <row r="55" spans="1:46" x14ac:dyDescent="0.2">
      <c r="A55" s="23" t="str">
        <f>A$53&amp;"1"</f>
        <v>E1</v>
      </c>
      <c r="B55" s="22" t="s">
        <v>21</v>
      </c>
      <c r="AO55" t="s">
        <v>28</v>
      </c>
      <c r="AP55" t="s">
        <v>8</v>
      </c>
      <c r="AQ55" t="s">
        <v>6</v>
      </c>
      <c r="AR55" t="s">
        <v>2</v>
      </c>
      <c r="AS55" t="s">
        <v>2</v>
      </c>
    </row>
    <row r="56" spans="1:46" x14ac:dyDescent="0.2">
      <c r="A56" s="23"/>
      <c r="B56" s="22"/>
      <c r="U56" t="s">
        <v>1</v>
      </c>
      <c r="AR56" t="s">
        <v>25</v>
      </c>
      <c r="AS56" t="s">
        <v>25</v>
      </c>
    </row>
    <row r="57" spans="1:46" x14ac:dyDescent="0.2">
      <c r="A57" s="23" t="str">
        <f>A$53&amp;"2"</f>
        <v>E2</v>
      </c>
      <c r="B57" t="s">
        <v>9</v>
      </c>
      <c r="C57" s="22" t="s">
        <v>20</v>
      </c>
      <c r="AO57" t="s">
        <v>28</v>
      </c>
      <c r="AP57" t="s">
        <v>8</v>
      </c>
      <c r="AQ57" t="s">
        <v>6</v>
      </c>
      <c r="AR57" t="s">
        <v>2</v>
      </c>
      <c r="AS57" t="s">
        <v>2</v>
      </c>
      <c r="AT57" t="s">
        <v>39</v>
      </c>
    </row>
    <row r="58" spans="1:46" x14ac:dyDescent="0.2">
      <c r="A58" s="23"/>
      <c r="C58" s="22"/>
      <c r="U58" t="s">
        <v>1</v>
      </c>
      <c r="AR58" t="s">
        <v>25</v>
      </c>
      <c r="AS58" t="s">
        <v>25</v>
      </c>
    </row>
    <row r="59" spans="1:46" x14ac:dyDescent="0.2">
      <c r="A59" s="23" t="str">
        <f>A$53&amp;"3"</f>
        <v>E3</v>
      </c>
      <c r="B59" t="s">
        <v>9</v>
      </c>
      <c r="C59" s="22" t="s">
        <v>23</v>
      </c>
      <c r="AO59" t="s">
        <v>28</v>
      </c>
      <c r="AP59" t="s">
        <v>8</v>
      </c>
      <c r="AQ59" t="s">
        <v>6</v>
      </c>
      <c r="AR59" t="s">
        <v>2</v>
      </c>
      <c r="AS59" t="s">
        <v>2</v>
      </c>
      <c r="AT59" t="s">
        <v>40</v>
      </c>
    </row>
    <row r="60" spans="1:46" ht="10.199999999999999" customHeight="1" x14ac:dyDescent="0.2">
      <c r="A60" s="23"/>
      <c r="C60" s="22"/>
      <c r="U60" t="s">
        <v>1</v>
      </c>
      <c r="AR60" t="s">
        <v>25</v>
      </c>
      <c r="AS60" t="s">
        <v>25</v>
      </c>
    </row>
    <row r="61" spans="1:46" x14ac:dyDescent="0.2">
      <c r="A61" s="23" t="str">
        <f>A$53&amp;"4"</f>
        <v>E4</v>
      </c>
      <c r="B61" t="s">
        <v>9</v>
      </c>
      <c r="C61" s="22" t="s">
        <v>26</v>
      </c>
      <c r="AO61" t="s">
        <v>28</v>
      </c>
      <c r="AP61" t="s">
        <v>8</v>
      </c>
      <c r="AQ61" t="s">
        <v>6</v>
      </c>
      <c r="AR61" t="s">
        <v>2</v>
      </c>
      <c r="AS61" t="s">
        <v>2</v>
      </c>
      <c r="AT61" t="s">
        <v>41</v>
      </c>
    </row>
    <row r="62" spans="1:46" ht="10.199999999999999" customHeight="1" x14ac:dyDescent="0.2">
      <c r="A62" s="23"/>
      <c r="C62" s="22"/>
      <c r="U62" t="s">
        <v>1</v>
      </c>
      <c r="AR62" t="s">
        <v>25</v>
      </c>
      <c r="AS62" t="s">
        <v>25</v>
      </c>
    </row>
    <row r="63" spans="1:46" x14ac:dyDescent="0.2">
      <c r="C63" t="s">
        <v>9</v>
      </c>
      <c r="D63" s="22" t="s">
        <v>32</v>
      </c>
      <c r="F63" s="22"/>
    </row>
    <row r="64" spans="1:46" x14ac:dyDescent="0.2">
      <c r="D64" s="22"/>
      <c r="F64" s="22"/>
    </row>
    <row r="68" spans="2:45" ht="19.2" customHeight="1" x14ac:dyDescent="0.2">
      <c r="B68" t="s">
        <v>9</v>
      </c>
      <c r="C68" s="22" t="s">
        <v>27</v>
      </c>
      <c r="AO68" t="s">
        <v>28</v>
      </c>
      <c r="AP68" t="s">
        <v>6</v>
      </c>
      <c r="AQ68" t="s">
        <v>6</v>
      </c>
      <c r="AR68" t="s">
        <v>7</v>
      </c>
      <c r="AS68" t="s">
        <v>7</v>
      </c>
    </row>
    <row r="69" spans="2:45" x14ac:dyDescent="0.2">
      <c r="C69" s="22"/>
      <c r="U69" t="s">
        <v>1</v>
      </c>
      <c r="AR69" t="s">
        <v>33</v>
      </c>
      <c r="AS69" t="s">
        <v>33</v>
      </c>
    </row>
  </sheetData>
  <mergeCells count="56">
    <mergeCell ref="A59:A60"/>
    <mergeCell ref="A61:A62"/>
    <mergeCell ref="F63:F64"/>
    <mergeCell ref="D63:D64"/>
    <mergeCell ref="A35:A36"/>
    <mergeCell ref="A43:A44"/>
    <mergeCell ref="A46:A47"/>
    <mergeCell ref="A49:A50"/>
    <mergeCell ref="A55:A56"/>
    <mergeCell ref="A57:A58"/>
    <mergeCell ref="C57:C58"/>
    <mergeCell ref="C59:C60"/>
    <mergeCell ref="C61:C62"/>
    <mergeCell ref="C35:C36"/>
    <mergeCell ref="A8:A9"/>
    <mergeCell ref="A21:A22"/>
    <mergeCell ref="A31:A32"/>
    <mergeCell ref="A40:A41"/>
    <mergeCell ref="A53:A54"/>
    <mergeCell ref="A17:A18"/>
    <mergeCell ref="A11:A12"/>
    <mergeCell ref="A24:A25"/>
    <mergeCell ref="A27:A28"/>
    <mergeCell ref="A33:A34"/>
    <mergeCell ref="A14:A15"/>
    <mergeCell ref="C68:C69"/>
    <mergeCell ref="B40:B41"/>
    <mergeCell ref="C43:C44"/>
    <mergeCell ref="C46:C47"/>
    <mergeCell ref="C49:C50"/>
    <mergeCell ref="B55:B56"/>
    <mergeCell ref="B53:B54"/>
    <mergeCell ref="C53:C54"/>
    <mergeCell ref="B21:B22"/>
    <mergeCell ref="C24:C25"/>
    <mergeCell ref="C27:C28"/>
    <mergeCell ref="C14:C15"/>
    <mergeCell ref="B11:B12"/>
    <mergeCell ref="B14:B15"/>
    <mergeCell ref="B17:B18"/>
    <mergeCell ref="AL4:AM4"/>
    <mergeCell ref="B31:B32"/>
    <mergeCell ref="C33:C34"/>
    <mergeCell ref="V4:Z4"/>
    <mergeCell ref="AI4:AJ4"/>
    <mergeCell ref="B27:B28"/>
    <mergeCell ref="B24:B25"/>
    <mergeCell ref="A6:D7"/>
    <mergeCell ref="F4:K4"/>
    <mergeCell ref="N4:R4"/>
    <mergeCell ref="C8:C9"/>
    <mergeCell ref="C21:C22"/>
    <mergeCell ref="C31:C32"/>
    <mergeCell ref="B8:B9"/>
    <mergeCell ref="C11:C12"/>
    <mergeCell ref="C17:C1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process each chg type</vt:lpstr>
      <vt:lpstr>(void) button standpoint</vt:lpstr>
      <vt:lpstr>(void) using enum</vt:lpstr>
      <vt:lpstr>(void)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Stuyvesant</dc:creator>
  <cp:lastModifiedBy>Jeff Stuyvesant</cp:lastModifiedBy>
  <dcterms:created xsi:type="dcterms:W3CDTF">2026-04-12T03:59:10Z</dcterms:created>
  <dcterms:modified xsi:type="dcterms:W3CDTF">2026-05-11T07:15:37Z</dcterms:modified>
</cp:coreProperties>
</file>